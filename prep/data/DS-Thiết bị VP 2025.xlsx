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E:\Ban CNTT\Danh sách\"/>
    </mc:Choice>
  </mc:AlternateContent>
  <xr:revisionPtr revIDLastSave="0" documentId="13_ncr:1_{F1CD2C13-BD4D-457F-85AE-C0FA83B51838}" xr6:coauthVersionLast="47" xr6:coauthVersionMax="47" xr10:uidLastSave="{00000000-0000-0000-0000-000000000000}"/>
  <bookViews>
    <workbookView xWindow="15270" yWindow="255" windowWidth="20610" windowHeight="20850" activeTab="1" xr2:uid="{9866A71E-2120-4D34-9331-E28C6E9B5876}"/>
  </bookViews>
  <sheets>
    <sheet name="ĐPHA" sheetId="2" r:id="rId1"/>
    <sheet name="TB-VP" sheetId="1" r:id="rId2"/>
    <sheet name="TB-Bỏ" sheetId="3" r:id="rId3"/>
    <sheet name="TH" sheetId="5" r:id="rId4"/>
  </sheets>
  <definedNames>
    <definedName name="_xlnm._FilterDatabase" localSheetId="0" hidden="1">ĐPHA!$A$4:$R$33</definedName>
    <definedName name="_xlnm._FilterDatabase" localSheetId="2" hidden="1">'TB-Bỏ'!$B$7:$AG$106</definedName>
    <definedName name="_xlnm._FilterDatabase" localSheetId="1" hidden="1">'TB-VP'!$B$7:$AH$173</definedName>
    <definedName name="_xlnm._FilterDatabase" localSheetId="3" hidden="1">TH!$B$7:$S$79</definedName>
    <definedName name="_xlnm.Print_Area" localSheetId="0">ĐPHA!$A$1:$N$39</definedName>
    <definedName name="_xlnm.Print_Area" localSheetId="2">'TB-Bỏ'!$A$3:$AG$106</definedName>
    <definedName name="_xlnm.Print_Area" localSheetId="1">'TB-VP'!$A$3:$AH$173</definedName>
    <definedName name="_xlnm.Print_Area" localSheetId="3">TH!$A$3:$S$79</definedName>
    <definedName name="_xlnm.Print_Titles" localSheetId="0">ĐPHA!$4:$4</definedName>
    <definedName name="_xlnm.Print_Titles" localSheetId="2">'TB-Bỏ'!$7:$7</definedName>
    <definedName name="_xlnm.Print_Titles" localSheetId="1">'TB-VP'!$7:$7</definedName>
    <definedName name="_xlnm.Print_Titles" localSheetId="3">TH!$7:$7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02" i="1" l="1"/>
  <c r="L11" i="2"/>
  <c r="L12" i="2"/>
  <c r="L14" i="2"/>
  <c r="L15" i="2"/>
  <c r="I16" i="2"/>
  <c r="L17" i="2"/>
  <c r="I23" i="2"/>
  <c r="I24" i="2"/>
  <c r="I25" i="2"/>
  <c r="I26" i="2"/>
  <c r="J61" i="1"/>
  <c r="M53" i="1"/>
  <c r="J53" i="1"/>
  <c r="M50" i="1"/>
  <c r="J50" i="1"/>
  <c r="M47" i="1"/>
  <c r="J47" i="1"/>
  <c r="J41" i="1"/>
  <c r="M40" i="1"/>
  <c r="J40" i="1"/>
  <c r="J74" i="1"/>
  <c r="M64" i="1"/>
  <c r="J58" i="1"/>
  <c r="J54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Thanh Hai™</author>
  </authors>
  <commentList>
    <comment ref="L40" authorId="0" shapeId="0" xr:uid="{960FA9F7-2AE9-49C4-A00E-61238B9F2130}">
      <text>
        <r>
          <rPr>
            <b/>
            <sz val="9"/>
            <color indexed="81"/>
            <rFont val="Tahoma"/>
            <family val="2"/>
          </rPr>
          <t xml:space="preserve">Thanh Hai™:
</t>
        </r>
        <r>
          <rPr>
            <sz val="9"/>
            <color indexed="81"/>
            <rFont val="Tahoma"/>
            <family val="2"/>
          </rPr>
          <t>1. Nâng SSD + Ram: 2.048.000 VNĐ
2. Mua chuột Logitech M650 (20/09/2022): 629.000 VNĐ</t>
        </r>
      </text>
    </comment>
    <comment ref="L43" authorId="0" shapeId="0" xr:uid="{506211BE-4AE2-4FFF-A9DF-3601A52A744B}">
      <text>
        <r>
          <rPr>
            <b/>
            <sz val="9"/>
            <color indexed="81"/>
            <rFont val="Tahoma"/>
            <family val="2"/>
          </rPr>
          <t>Thanh Hai™:</t>
        </r>
        <r>
          <rPr>
            <sz val="9"/>
            <color indexed="81"/>
            <rFont val="Tahoma"/>
            <family val="2"/>
          </rPr>
          <t xml:space="preserve">
1. Mua chuột Logitech M650 (20/09/2022): 629.000 VNĐ</t>
        </r>
      </text>
    </comment>
  </commentList>
</comments>
</file>

<file path=xl/sharedStrings.xml><?xml version="1.0" encoding="utf-8"?>
<sst xmlns="http://schemas.openxmlformats.org/spreadsheetml/2006/main" count="2782" uniqueCount="700">
  <si>
    <t>STT</t>
  </si>
  <si>
    <t>TÊN VẬT TƯ- THIẾT BỊ</t>
  </si>
  <si>
    <t>MÃ TÀI SẢN</t>
  </si>
  <si>
    <t>NHÓM THIẾT BỊ</t>
  </si>
  <si>
    <t>CẤU HÌNH KỸ THUẬT CƠ BẢN</t>
  </si>
  <si>
    <t>NĂM SẢN XUẤT</t>
  </si>
  <si>
    <t>NĂM SỬ DỤNG</t>
  </si>
  <si>
    <t>HÃNG SẢN XUẤT</t>
  </si>
  <si>
    <r>
      <t xml:space="preserve">NGUYỄN GIÁ
</t>
    </r>
    <r>
      <rPr>
        <i/>
        <sz val="10"/>
        <rFont val="Times New Roman"/>
        <family val="1"/>
      </rPr>
      <t>(Đơn vị: VNĐ)</t>
    </r>
  </si>
  <si>
    <r>
      <t xml:space="preserve">BẢO HÀNH
</t>
    </r>
    <r>
      <rPr>
        <i/>
        <sz val="10"/>
        <rFont val="Times New Roman"/>
        <family val="1"/>
      </rPr>
      <t>(Thời gian: Tháng)</t>
    </r>
  </si>
  <si>
    <t>THAY THẾ SỬA CHỮA</t>
  </si>
  <si>
    <t>CHI PHÍ SỬA CHỮA</t>
  </si>
  <si>
    <t>PHÒNG BAN SỬ DỤNG</t>
  </si>
  <si>
    <t>NGƯỜI SỬ DỤNG</t>
  </si>
  <si>
    <t>TÌNH TRẠNG</t>
  </si>
  <si>
    <t>LỊCH SỬ SỬ DỤNG</t>
  </si>
  <si>
    <t>NƠI MUA</t>
  </si>
  <si>
    <t>GHI CHÚ</t>
  </si>
  <si>
    <t>I</t>
  </si>
  <si>
    <t>Máy tính xách tay Laptop</t>
  </si>
  <si>
    <t>Laptop Dell XPS 13 Plus 9320 Gen 12th</t>
  </si>
  <si>
    <t>Laptop</t>
  </si>
  <si>
    <t>Laptop Dell XPS 13 Plus 9320 Gen 12th (i7 1260P 4.7Ghz/32GB RAM5-Bus 5200/1TB PCIe Gen4 M.2 SSD/ Intel Iris Xe Graphics/13.4", 3.5K 3456x2160, 60Hz, OLED, Touch, Anti-Reflect, 400 nit, InfinityEdge/Win 11 Home) / Hàng nhập khẩu USA</t>
  </si>
  <si>
    <t>Dell</t>
  </si>
  <si>
    <t>12 Tháng</t>
  </si>
  <si>
    <t>CT HĐQT</t>
  </si>
  <si>
    <t>Lương Minh Tuấn</t>
  </si>
  <si>
    <t>Đang sử dụng</t>
  </si>
  <si>
    <t>Công ty TNHH LPL Việt Nam (Lapvip)</t>
  </si>
  <si>
    <t>Laptop Dell Vostro 5620 (VWXVW)</t>
  </si>
  <si>
    <t>Laptop Dell Vostro 5620 (VWXVW) (i5 1240P 3,3Ghz /16GB RAM4-Bus 3200/512GB SSD M2 Ple/Nvidia MX570 2Gb DDR6/16" FHD (1920 x 1200) IPS/Win 11+Office21)</t>
  </si>
  <si>
    <t>TGĐ</t>
  </si>
  <si>
    <t>Trần Anh Tuấn</t>
  </si>
  <si>
    <t>Sony</t>
  </si>
  <si>
    <t>Nâng cấp SSD, RAM</t>
  </si>
  <si>
    <t>P.TGĐ</t>
  </si>
  <si>
    <t>Phạm Kim Châu</t>
  </si>
  <si>
    <t>Laptop Dell Vostro 5301 (V3I7129W)</t>
  </si>
  <si>
    <t>Laptop Dell Vostro 5301(V3I7129W) (i7 1165G7 2,8Ghz /8GB RAM4-Bus 4267/512GB SSD M2 Ple/Nvidia MX350 2Gb DDR5/13,3" FHD (1920 x 1080) IPS/Win 10)</t>
  </si>
  <si>
    <t>Công ty cỏ phần máy tính Hà Nội</t>
  </si>
  <si>
    <t>Laptop Sony Vaio SVF14327SGB</t>
  </si>
  <si>
    <t>Laptop Sony Vaio SVF14327SGB (i3 4005U 1,7Ghz /4GB RAM3-Bus 1600/500GB HDD/Nvidia GeForce GT740M-1GB DDR3/14.0" HD (1366 x 768) IPS/Win 10)</t>
  </si>
  <si>
    <t>Hoàng Gia Chiểu</t>
  </si>
  <si>
    <t>Sony Center Xuân Thủy</t>
  </si>
  <si>
    <t>HP</t>
  </si>
  <si>
    <t>Laptop Dell Vostro 5301 (C4VV92)</t>
  </si>
  <si>
    <t>Laptop Dell Vostro 5301 (C4VV92 ) (i5 1135G7 2,4Ghz /8GB RAM4-Bus 4267/512GB SSD M2 Ple/VGA Intel Iris Xe Graphics/13,3" FHD (1920 x 1080) IPS/Win 10)</t>
  </si>
  <si>
    <t>GĐ Tài Chính</t>
  </si>
  <si>
    <t>Lã Thị Minh Loan</t>
  </si>
  <si>
    <t>CT TNHH Kỹ Nghệ Phúc Anh</t>
  </si>
  <si>
    <t>Laptop Asus Vivobook A510UA-Ẹ1519T</t>
  </si>
  <si>
    <t>Laptop Asus Vivobook A510UA (i5 8250U 1,6Ghz /4GB RAM4-Bus 2400/512GB SSD/ NVIDIA GeForce MX130/15.6" HD (1920 x 1080) IPS/Win 10)</t>
  </si>
  <si>
    <t>Asus</t>
  </si>
  <si>
    <t>Thư ký</t>
  </si>
  <si>
    <t>Lê Thị Hà</t>
  </si>
  <si>
    <t>CT TNHH tin học Mai Hoàng</t>
  </si>
  <si>
    <t>Laptop HP Pavilion 15-cc011TU</t>
  </si>
  <si>
    <t>Laptop HP Pavilion 15-cc011TU (i3 7100U 2,4Ghz /8GB RAM4-Bus 2400/250GB SSD/Intel HD Graphic 620/15.6" HD (1366 x 768) IPS/Win 10)</t>
  </si>
  <si>
    <t>Cả Công ty</t>
  </si>
  <si>
    <t>Lenovo</t>
  </si>
  <si>
    <t>Phòng TCKT</t>
  </si>
  <si>
    <t>Đỗ Thị Thu</t>
  </si>
  <si>
    <t>Công ty cỏ phần Ben</t>
  </si>
  <si>
    <t>Laptop Dell Vostro 3420 (71003348)</t>
  </si>
  <si>
    <t>Laptop Dell Vostro 3420 (71003348) (i5 1235U 3,3Ghz /08GB RAM4-Bus 2666/512GB SSD M2/VGA intel /14" FHD (1920 x 1080) IPS/Win 11, Office HS21/Xám)</t>
  </si>
  <si>
    <t>Công ty TNHH Công Nghệ Tin Học Hoàng Minh</t>
  </si>
  <si>
    <t>Laptop Dell Vostro 5468-VTI35008</t>
  </si>
  <si>
    <t>Laptop Dell Vostro 5468 (i5 7200U 2,5Ghz /4GB RAM4-Bus 2400/500GB HDD/Intel HD Graphic 620/14.0" HD (1366 x 768) IPS/Win 10)</t>
  </si>
  <si>
    <t>Cao Văn Dương</t>
  </si>
  <si>
    <t>CT TNHH TMDV TH An Phát</t>
  </si>
  <si>
    <t>Laptop Dell Precision M5520</t>
  </si>
  <si>
    <t>Laptop Dell Precision M5520 (i7 7820HQ 2,9Ghz /16GB RAM4-Bus 2400/512GB SSD M2/Quadro M1200 4GB GDDR5/15,6" FHD (1920 x 1080) IPS/Win 10)</t>
  </si>
  <si>
    <t>Toplap</t>
  </si>
  <si>
    <t>Laptop Dell Vostro 5468 (i3 6006U 2,4Ghz /4GB RAM4-Bus 2133/500GB HDD/Intel HD Graphic/14.0" HD (1366 x 768) IPS/Win 10)</t>
  </si>
  <si>
    <t>Nguyễn Văn Dũng</t>
  </si>
  <si>
    <t>Đỗ Đặng Vũ</t>
  </si>
  <si>
    <t>Laptop HP Pavilion 15-cs3060TX</t>
  </si>
  <si>
    <t>Laptop HP Pavilion 15-cs3060TX (i5 1035G1 1,0Ghz /8GB RAM4-Bus 2666/512GB SSD/NVIDIA GeForce MX250 2GB GDDR5/15.6" FHD (1920 x 1080) IPS/Win 10)</t>
  </si>
  <si>
    <t>Nguyễn Thị Quỳnh Doan</t>
  </si>
  <si>
    <t>Laptop HP Pavilion 14-ce3018TU</t>
  </si>
  <si>
    <t>Laptop HP Pavilion 14-ce3018TU (i5 1035G1 1,0Ghz /4GB RAM4-Bus 2666/256GB SSD/Intel UHD Graphics/14" FHD (1920 x 1080) IPS/Win 10)</t>
  </si>
  <si>
    <t xml:space="preserve">Laptop Dell Inspiron 7490 </t>
  </si>
  <si>
    <t>Laptop Dell Inspiron 14-7490 (i7 10510U 1,8Ghz /8GB RAM3-Bus 2133/256GB SSD/UHD Granphics 620/14" FHD (1920 x 1080) IPS/Win 10)</t>
  </si>
  <si>
    <t>Trịnh Xuân Lộc</t>
  </si>
  <si>
    <t>Công ty CP XD thế giới số TLD</t>
  </si>
  <si>
    <t>Laptop Dell Inspiron 15-5593(N5I5513W)</t>
  </si>
  <si>
    <t>Laptop Dell Inspiron 15-5593(N5I5513W) (i5 1035G1 1,0Ghz /8GB RAM4-Bus 2666/256GB SSD + 1TB HDD/Nvidia MX230/15.6" FHD (1920 x 1080) IPS/Win 10)</t>
  </si>
  <si>
    <t>Phạm Văn Tuyến</t>
  </si>
  <si>
    <t>Công ty TNHH máy tính &amp; VT An Khang</t>
  </si>
  <si>
    <t>Laptop Dell Vostro 5402 (V4I5003W)</t>
  </si>
  <si>
    <t>Laptop Dell Vostro 5402(70231338) (i5 1135G7 2,4Ghz /8GB RAM4-Bus 3200/256GB SSD M2 Ple/VGA Intel Iris Xe Graphics/14" FHD (1920 x 1080) IPS/Win 10)</t>
  </si>
  <si>
    <t>Laptop MSI Modern 14 B5M-064VN</t>
  </si>
  <si>
    <t>Laptop MSI Modern 14 B5M-064VN (Ryzen 5 5500U 2.1Ghz /8GB RAM4-Bus 3200/512GB SSD M2 Ple/VGA AMD Radeon™ Graphics/14" FHD (1920 x 1080) IPS/Win 10)</t>
  </si>
  <si>
    <t>Lê Văn Dung</t>
  </si>
  <si>
    <t>Laptop Dell G15 5515(P105F004DGR)</t>
  </si>
  <si>
    <t>Laptop Dell G15 5515(P105F004DGR) (R5 5600 3,3Ghz /16GB RAM4-Bus 3200/512GB SSD M2 Ple/VGA Nvidia Geforce RTX3050 4G DDR6 /15,6" FHD (1920 x 1080) IPS/Win 11/Xám)</t>
  </si>
  <si>
    <t>Nguyễn Ngọc Sơn</t>
  </si>
  <si>
    <t>Công ty cổ phần máy tính Hà Nội</t>
  </si>
  <si>
    <t>Máy Thiết kế</t>
  </si>
  <si>
    <t>Laptop Dell Inspiron 14 5440 (71059084)</t>
  </si>
  <si>
    <t>Laptop Dell Inspiron 14 5440 71059084 (Intel Core 7 processor 150U (12MB, Up to 5.40GHz) | Ram 16GB DDR5 5200MHz (2x8GB)| SSD 1TB M.2 PCIe NVMe |  MX570A 2GB GDDR6 | 14.0Inch 2.2K WVA 300nits 16:10 |Win 11 | Office HS24 | Xanh)</t>
  </si>
  <si>
    <t>Nguyễn Hữu Hùng</t>
  </si>
  <si>
    <t>II</t>
  </si>
  <si>
    <t>Máy tính để bàn Desktop</t>
  </si>
  <si>
    <t>Desktop</t>
  </si>
  <si>
    <t xml:space="preserve">Dell </t>
  </si>
  <si>
    <t>SSD+RAM</t>
  </si>
  <si>
    <t>Nguyễn Ngọc Anh</t>
  </si>
  <si>
    <t>Chị Vân Hà cùng cấu hình</t>
  </si>
  <si>
    <t>Desktop Dell Inspiron 3668MT-70121544 + LCD Dell E2219HN</t>
  </si>
  <si>
    <t>Desktop Dell Inspiron 3668MT (i5 7400 3,0 Ghz/8GB RAM4-Bus 2400/1TB HDD/Nvidia Geforce 730 2G DDR3/Win 10) + LCD Dell E2219HN 21,5"(1920 x 1080)</t>
  </si>
  <si>
    <t>Chuột</t>
  </si>
  <si>
    <t>Trần Thị Vân Anh</t>
  </si>
  <si>
    <t>Anh Đưa =&gt; Nguyễn Ngọc Sơn =&gt; Trần Thị Vân Anh</t>
  </si>
  <si>
    <t>Desktop Dell Inspiron 3470-STI51315 + LCD Dell E2219HN</t>
  </si>
  <si>
    <t>Công ty cổ phần Ben</t>
  </si>
  <si>
    <t>Desktop Dell Inspiron 3470 (i5 8400 2,8Ghz/8GB RAM4-Bus 2666/128GB SSD, 1TB HDD/Intel UHD Graphic 630/Win 10) + LCD Dell E2219HN 21,5"(1920 x 1080)</t>
  </si>
  <si>
    <t>Option</t>
  </si>
  <si>
    <t xml:space="preserve">Desktop Dell Vostro 3671-42VT370046 + LCD Dell SE2219HX 21.5" </t>
  </si>
  <si>
    <t>Trần Thanh Tùng</t>
  </si>
  <si>
    <t xml:space="preserve">Desktop Dell Vostro 3888-MT + LCD Dell SE2219HX 21.5" </t>
  </si>
  <si>
    <t>Desktop Dell Vostro 3888-MT (Pentium G6400 4,0Ghz, /8GB RAM4-Bus 2666/SSD M2 Pcle NVMe 250GB + 1TB HDD/Intel UHD Graphic/Win 10SL) + LCD Dell SE2219HX 21.5"(1920x1080)</t>
  </si>
  <si>
    <t>Trịnh Thị Hương Giang</t>
  </si>
  <si>
    <t>Desktop Dell Inspiron 3470 (70157878) + LCD Dell E2219HN</t>
  </si>
  <si>
    <t>Desktop Lenovo V530S-15ICB +  LCD Dell SE2219HX</t>
  </si>
  <si>
    <t xml:space="preserve">Desktop Dell Inspiron 3891-MT + LCD Dell S2421HN 23.8" </t>
  </si>
  <si>
    <t>Desktop Dell Inspiron 3891 (i3 10105 3,7Ghz/8GB RAM4-Bus 2666/250GB SSD, 1TB HDD/Intel UHD Graphic 630/Win 11+Office) + LCD Dell S2421HN 23,8"(1920 x 1080)</t>
  </si>
  <si>
    <t>Ban KTNB</t>
  </si>
  <si>
    <t>Desktop VP - Case dựng + LCD Viewsonic 18,5"</t>
  </si>
  <si>
    <t>Desktop Dell Inspiron 3470 (Pentium G5400 3,7Ghz, /4GB RAM4-Bus 2400/1TB HDD/Intel HD Graphic/Win 10) +LCD Dell E2219HN 21,5"(1920 x 1080)</t>
  </si>
  <si>
    <t>Desktop Dell Inspiron 3470 (70157878) + LCD Dell SE2219HX</t>
  </si>
  <si>
    <t>Desktop Dell Inspiron 3470 (Pentium G5400 3,7Ghz, /4GB RAM4-Bus 2400/1TB HDD/Intel HD Graphic/Win 10) +  LCD Dell SE2219HX 21.5"(1920x1080)</t>
  </si>
  <si>
    <t>LCD Dell(14/06/2021), SSD</t>
  </si>
  <si>
    <t>Hà Mạnh Cường</t>
  </si>
  <si>
    <t>Nâng cấp SSD</t>
  </si>
  <si>
    <t>Desktop Dell Vostro 3020T</t>
  </si>
  <si>
    <t>Desktop Dell Vostro 3020T (i3 13100 3,4Ghz/8GB RAM4-Bus 3200/512GB SSD NVME, /Intel UHD Graphic 730/Win 11 Home+Office)</t>
  </si>
  <si>
    <t>Đoàn Văn Công</t>
  </si>
  <si>
    <t>Desktop VP - Case dựng + LCD Dell E2219HN</t>
  </si>
  <si>
    <t>Desktop VP - Case dựng (Dual Core G2030 3,0Ghz/MSI H61M/2GB RAM3-Bus 1600/500GB HDD/Intel HD Graphic/450W/Win 10) + LCD Dell E2219HN 21,5"(1920 x 1080)</t>
  </si>
  <si>
    <t>Nguyễn Thị Hương</t>
  </si>
  <si>
    <t>Desktop Lenovo V530S-07ICB + LCD Dell E2219HN</t>
  </si>
  <si>
    <t>Desktop Lenovo V530S-07ICB (i3 8100 3,6Ghz/4GB RAM4-Bus 2666/120GB SSD, 1TB HDD/Intel HD Graphic 610/Win 10) + LCD Dell E2219HN 21,5"(1920 x 1080)</t>
  </si>
  <si>
    <t>Desktop Lenovo V530S-07ICB + LCD SamSung 17"</t>
  </si>
  <si>
    <t>Desktop Lenovo V530S-07ICB (Pentium G5400 3,7Ghz /8GB RAM4-Bus 2666/500GB SSD/Intel HD Graphic/Win 10)  + LCD SamSung 17"-Màn cũ</t>
  </si>
  <si>
    <t>Nâng cấp SSD + RAM</t>
  </si>
  <si>
    <t>Nguyễn Thị Hồng Điệp</t>
  </si>
  <si>
    <t>Desktop Dell Inspiron 3470 (i5 8400 2,8Ghz/8GB RAM4-Bus 2666/500GB SSD/Intel UHD Graphic 630/Win 10) + LCD Dell E2219HN 21,5"(1920 x 1080)</t>
  </si>
  <si>
    <t>Phạm Quang Sự</t>
  </si>
  <si>
    <t>Ngô Công Nhậm =&gt; Phạm Quang Sự</t>
  </si>
  <si>
    <t>Desktop Lenovo V530S-07ICB (i3 8100 3,6Ghz/4GB RAM4-Bus 2666/500GB SSD/Intel HD Graphic 610/Win 10) + LCD Dell E2219HN 21,5"(1920 x 1080)</t>
  </si>
  <si>
    <t xml:space="preserve">Nâng cấp SSD </t>
  </si>
  <si>
    <t>Lê Xuân Linh</t>
  </si>
  <si>
    <t>Mạnh =&gt;Lê Xuân Linh</t>
  </si>
  <si>
    <t>Desktop Dell Vostro 3681 (42VT360003) + LCD Dell S2421HN</t>
  </si>
  <si>
    <t>Desktop Dell Vostro 3681 (42VT360003)(i5 10400 2,9Ghz/8GB RAM4-Bus 3200/250GB SSD M2, 1TB HDD/Intel HD Graphic 630/Win 10) + LCD Dell S2421HN 23,8"(1920 x 1080)</t>
  </si>
  <si>
    <t xml:space="preserve">Desktop Dell Vostro 3671-42VT370046 + LCD SamSung 17" </t>
  </si>
  <si>
    <t>Desktop Dell Vostro 3671 (i3 9100 3,6Ghz/8GB RAM4-Bus 2400/256GB SSD M2, 1TB HDD/Intel UHD Graphic 620/Win 10) + + LCD SamSung 17"-Màn cũ</t>
  </si>
  <si>
    <t>Phạm Ngọc Sơn</t>
  </si>
  <si>
    <t>Thay SSD 256GB</t>
  </si>
  <si>
    <t>Tạ Văn Đăng</t>
  </si>
  <si>
    <t>Tạ Tú Uyên</t>
  </si>
  <si>
    <t>Vũ Bá Linh</t>
  </si>
  <si>
    <t>Desktop Dell Vostro 3681 (STI31501W) + LCD Dell S2421HN</t>
  </si>
  <si>
    <t>Ngô Công Nhận</t>
  </si>
  <si>
    <t>Desktop Dell Inspiron 3470-STI51315 + LCD Dell SE2719H</t>
  </si>
  <si>
    <t>Desktop Dell Inspiron 3470 (i5 8400 2,8Ghz/8GB RAM4-Bus 2666/128GB SSD, 1TB HDD/Intel UHD Graphic 630/Win 10) + LCD Dell SE2719H 27"(1920 x 1080)</t>
  </si>
  <si>
    <t>Ban HCNS</t>
  </si>
  <si>
    <t>Phạm Quang Bình =&gt; Trịnh Xuân Lộc</t>
  </si>
  <si>
    <t>Desktop Dell Vostro 3470-HXKWJ1 + LCD Dell P2319H 23"</t>
  </si>
  <si>
    <t>Nâng cấp SSD, RAM, Chuột</t>
  </si>
  <si>
    <t>Nguyễn Thị Đan Phượng</t>
  </si>
  <si>
    <t>Vân Hà==&gt;Phương</t>
  </si>
  <si>
    <t>Desktop VP - Case dựng + LCD Dell P2219H 21,5"</t>
  </si>
  <si>
    <t>Desktop Render 3D - Case dựng (i5 9400F 2,9Ghz/8GB RAM4-Bus 2666/240GB SSD M2, 1TB HDD/VGA Gigabyte RX570/Win 10)) +  LCD Dell P2219H 21,5"(1920 x 1080)</t>
  </si>
  <si>
    <t>LCD Dell</t>
  </si>
  <si>
    <t>Lễ Tân</t>
  </si>
  <si>
    <t>Nguyễn Thị Thanh Nga</t>
  </si>
  <si>
    <t>Trịnh Xuân Lộc =&gt; Nguyễn Thị Thanh Nga</t>
  </si>
  <si>
    <t>Desktop VP - Case dựng + LCD Dell P2418D 23,8"</t>
  </si>
  <si>
    <t>Desktop Render 3D - Case dựng (i5 9400F 2,9Ghz/8GB RAM4-Bus 2666/240GB SSD M2, 1TB HDD/VGA Gigabyte RX570/Win 10) + LCD Dell P2418D 23,8"(2560 x 1440)</t>
  </si>
  <si>
    <t>Nguyễn Thanh Hải</t>
  </si>
  <si>
    <t>Phan Tuấn Nam =&gt;Nguyễn Thanh Hải</t>
  </si>
  <si>
    <t>Công ty CP máy tính Hà Nội</t>
  </si>
  <si>
    <t>Cá nhân bỏ tiền ra mua màn hình</t>
  </si>
  <si>
    <t xml:space="preserve">Desktop Dell Vostro 3888-MT + LCD Dell S2421H 23.8" </t>
  </si>
  <si>
    <t>Desktop Dell Vostro 3888-MT (i3 10105 3,7Ghz/8GB RAM4-Bus 2666/250GB SSD, 1TB HDD/Intel UHD Graphic 630/Win 11+Office) + LCD Dell S2421H 23,8"(1920 x 1080)</t>
  </si>
  <si>
    <t>Nguyễn Thị Bích Ngọc</t>
  </si>
  <si>
    <t>Trần Thị Vân Anh =&gt; Nguyễn Thị Bích Ngọc</t>
  </si>
  <si>
    <t xml:space="preserve">Desktop VP - Case dựng </t>
  </si>
  <si>
    <t xml:space="preserve">Desktop Render 3D - Case dựng (i7 10700 2,9Ghz/16GB RAM4-Bus 3000/250GB SSD 970 Evo Plus M2/VGA Gigabyte RTX2060Super/Win 10) </t>
  </si>
  <si>
    <t>VGA 3060 + PSU 750W</t>
  </si>
  <si>
    <t>Phòng họp 1</t>
  </si>
  <si>
    <t>Desktop VP - Case dựng (Dual Core G2030 3,0Ghz/MSI H61M/2GB RAM3-Bus 1600/500GB HDD/Intel HD Graphic/450W/Win 7) + LCD Viewsonic 18,5"5"(1366 x 768)</t>
  </si>
  <si>
    <t>Vũ Anh Tuân =&gt; Máy chủ Scan</t>
  </si>
  <si>
    <t xml:space="preserve">Desktop Dell Vostro 3671 (i3 9100 3,6Ghz/8GB RAM4-Bus 2400/256GB SSD M2, 1TB HDD/Intel UHD Graphic 620/Win 10) + LCD Dell SE2219HX 21.5"(1920x1080) </t>
  </si>
  <si>
    <t>Vũ Quang Hải =&gt; Đỗ Đặng Vũ</t>
  </si>
  <si>
    <t>Desktop Lenovo V520S-10NKA00DVA +  LCD Dell E2219HN</t>
  </si>
  <si>
    <t>Phạm Thị Mến</t>
  </si>
  <si>
    <t>Desktop Dell Inspiron 3470 (Pentium G5400 3,7Ghz, /4GB RAM4-Bus 2400/SSD 250 GB +1TB HDD/Intel HD Graphic/Win 10) +  LCD Dell E2219HN 21,5"(1920 x 1080)</t>
  </si>
  <si>
    <t>Phạm Trung Kiên</t>
  </si>
  <si>
    <t>Nguyễn Thị Thanh Hoa =&gt; Phạm Trung Kiên</t>
  </si>
  <si>
    <t>Cửa hàng máy cũ</t>
  </si>
  <si>
    <t xml:space="preserve">Desktop Dell Vostro 3671-MT71G5420 + LCD Dell SE2219HX 21.5" </t>
  </si>
  <si>
    <t>Ram, HDD 4TB</t>
  </si>
  <si>
    <t>Desktop Render 3D - Case dựng + LCD Dell P2418D 24"</t>
  </si>
  <si>
    <t>Desktop Render 3D - Case dựng (i7 9700 3,0Ghz/32GB RAM4-Bus 3200/256GB SSD M2, 2TB HDD/VGA Asus RTX2060Super/Win 10) + LCD Dell P2418D 24"(2560 x 1440)</t>
  </si>
  <si>
    <t>Ram 32GB, HDD 4TB</t>
  </si>
  <si>
    <t>Giang Tuấn Nghĩa</t>
  </si>
  <si>
    <t>Desktop Case dựng + LCD Dell P2723D 27"</t>
  </si>
  <si>
    <t>Desktop Render 3D - Case dựng (i7 12700F 3,6Ghz/64GB RAM4-Bus 5200/1TB SSD M2 SamSung 990 Pro /HDD 4TB /VGA Cigabyte GTX3060/Win 10) + LCD Dell P2723D 27" (2560 x 1440)</t>
  </si>
  <si>
    <t>Đỗ Thị Phương Thảo</t>
  </si>
  <si>
    <t>Desktop Dell Optiplex All In One 7490 AiO</t>
  </si>
  <si>
    <t>AIO</t>
  </si>
  <si>
    <t>Desktop Dell Optiplex All In One 7490 AiO (i5 11500 2,7Ghz/8GB RAM4-Bus 2666/512GB SSD M2/VGA GTX1650/Win 11/Speaker/Camera) + LCD Dell Touch 23.8"(1920x1080)</t>
  </si>
  <si>
    <t>Ban TGĐ</t>
  </si>
  <si>
    <t>Phạm Quang Bình</t>
  </si>
  <si>
    <t>Desktop Case dựng + LCD Dell P2319H 23"</t>
  </si>
  <si>
    <t>Desktop Render 3D - Case dựng (i5 13400F 2,5Ghz/32GB RAM4-Bus 3600/1TB SSD M2 SamSung 990 Pro /VGA MSI GTX1650/Win 10) + LCD Dell P2319H 23" (1920x1080)</t>
  </si>
  <si>
    <t>Ban CNTT</t>
  </si>
  <si>
    <t>III</t>
  </si>
  <si>
    <t>Máy tính bảng iPad</t>
  </si>
  <si>
    <t>Máy tính bảng iPad Pro 10,5 + Bàn phím + Bút pencil</t>
  </si>
  <si>
    <t>Máy tính bảng</t>
  </si>
  <si>
    <t>Apple</t>
  </si>
  <si>
    <t xml:space="preserve">FPT Shop </t>
  </si>
  <si>
    <t>Máy tính bảng iPad Pro 11 inch 2022 M2 Wifi + 5G 256GB-Xám + Bàn phím</t>
  </si>
  <si>
    <t>CellPhone S</t>
  </si>
  <si>
    <t>Máy tính bảng iPad Pro 12,9 + Bàn phím + Bút pencil</t>
  </si>
  <si>
    <t>DigiWorld Hà Nội</t>
  </si>
  <si>
    <t>Máy tính bảng iPad Pro 10,5 + Bàn phím + Bút pencil + Sim 5G</t>
  </si>
  <si>
    <t>Techone</t>
  </si>
  <si>
    <t>IV</t>
  </si>
  <si>
    <t>Máy chủ Server</t>
  </si>
  <si>
    <t>Server Dell T20</t>
  </si>
  <si>
    <t>Server</t>
  </si>
  <si>
    <t xml:space="preserve">Desktop Dell T20 (Intel Xeon E3-1225v3 3,2Ghz/8GB RAM3 ECC-Bus 1600/3x 1TB HDD Dell Enterprise/LSI Riad Contronller(Raid 0,1,5,10,50)/Win Server 2012) </t>
  </si>
  <si>
    <t>Phòng Server</t>
  </si>
  <si>
    <t>Đang hoạt động</t>
  </si>
  <si>
    <t>Server Dell T430</t>
  </si>
  <si>
    <t xml:space="preserve">Desktop Dell T430 (Intel Xeon E5-2609v4 1,7Ghz/16GB RAM4 ECC-Bus 2400/2x 2TB HDD Dell Perc H330 SAS 12GB PCI-Express (Raid 0,1,5,10,50, max 16 disk)/Win Server 2012) </t>
  </si>
  <si>
    <t>Server Dell R750XS</t>
  </si>
  <si>
    <t>Desktop Dell R750XS (Intel Xeon Silver 4310 2,1Ghz/64GB RAM4 ECC-Bus 3200/2x SamSung SSD DC PM893 480GB + 2x SamSuung SSD DC PM893 960GB /Dell Perc H755 SAS 12GB PCI-Express (Raid 0,1,5,10,50, max 16 disk)/Win Server 2022 )</t>
  </si>
  <si>
    <t>V</t>
  </si>
  <si>
    <t>Máy Photocopy</t>
  </si>
  <si>
    <t>Máy Photocopy Aficio MP6002</t>
  </si>
  <si>
    <t>Photocopy</t>
  </si>
  <si>
    <t>Máy Photocopy Aficio MP6002 (Photocopy, in, Scan màu: A3, A4, A5/Độ phân giải: 1200 x 2400dpi/Tốc độ copy 60 bản/1 phút/ Số bản coy liên tục 999 bản/Phóng bản 25%-400%/Khay giấy 1550x2 tờ/Khay nạp 100 tờ/Bộ nhớ 128Gb/ Công suất 1,8Kw)</t>
  </si>
  <si>
    <t>Ricoh</t>
  </si>
  <si>
    <t>Loading</t>
  </si>
  <si>
    <t>Máy Photocopy Aficio MP7503</t>
  </si>
  <si>
    <t>Máy Photocopy Aficio MP7503 (Photocopy, in, Scan màu: A3, A4, A5/Độ phân giải: 1200 x 1200dpi/Tốc độ copy 75 bản/1 phút/ Số bản coy liên tục 999 bản/Phóng bản 25%-400%/Khay giấy 1550x2 tờ/Khay nạp 100 tờ/Bộ nhớ 320Gb/ Công suất 1,8Kw)</t>
  </si>
  <si>
    <t>VI</t>
  </si>
  <si>
    <t>Tivi Smart Tivi Led SamSung UA65JU7000 65"</t>
  </si>
  <si>
    <t>Tivi</t>
  </si>
  <si>
    <t>Smart Tivi Led SamSung UA65JU7000 (Loại tivi: Smart tivi 3D /Kích thước: 65" /Độ phân giải Ultra HD 4K(3840x2160) / Tần số quét: 1000Hz /Công suất: 188w/ KL 28kg )</t>
  </si>
  <si>
    <t>SamSung</t>
  </si>
  <si>
    <t>24 Tháng</t>
  </si>
  <si>
    <t>Phòng Họp</t>
  </si>
  <si>
    <t>CT TNHH MTV VTQT FPT</t>
  </si>
  <si>
    <t>Tivi Smart Tivi Led SamSung 65MU7000 65"</t>
  </si>
  <si>
    <t>Smart Tivi Led SamSung 65MU7000 (Loại tivi: Smart tivi 3D /Kích thước: 65" /Độ phân giải Ultra HD 4K(3840x2160) / Tần số quét: 1000Hz /Tizen OS/Công suất: 188w/ KL 24kg )</t>
  </si>
  <si>
    <t>Công ty CP điện máy Đất Việt</t>
  </si>
  <si>
    <t>Tivi Smart Tivi Sony 4K KD-85X9000H  85"</t>
  </si>
  <si>
    <t>Smart Tivi Led Sony 4K KD-85X9000H (Loại tivi: Smart tivi 4K /Kích thước: 85" /Độ phân giải Ultra HD 4K(3840x2160) / Tần số quét: 800Hz /Android TV 9.0/Công suất: 318w/ KL 47,7kg )</t>
  </si>
  <si>
    <t>CT TNHH DV TM Khang Anh</t>
  </si>
  <si>
    <t>Tivi Smart Tivi Led SamSung 55MU7000 55"</t>
  </si>
  <si>
    <t>Smart Tivi Led SamSung 65MU7000 (Loại tivi: Smart tivi 3D /Kích thước: 65" /Độ phân giải Ultra HD 4K(3840x2160) / Tần số quét: 1000Hz /Tizen OS/Công suất: 188w/ KL 17,9kg )</t>
  </si>
  <si>
    <t>Phòng BĐS</t>
  </si>
  <si>
    <t>Máy chiếu Panasonic PT-LB386</t>
  </si>
  <si>
    <t>Máy chiếu</t>
  </si>
  <si>
    <t>Máy chiếu Panasonic PT-LB386 (Kích thước màn chiếu thích hợp nhất: 50 - 120 inch; Công nghệ: 3LCD; Độ sáng: 3800 Ansi Lumens - KHÔNG KÈM DÂY CABLE; Độ tương phản: 20000:1; Độ phân giải: XGA (1024x768); Tuổi thọ đèn: Bóng đèn 230W UHM, Tuổi thọ bóng đèn tối đa 20.000 giờ (Sử dụng đúng cách); Cân nặng: 2.9 Kg)</t>
  </si>
  <si>
    <t>Panasonic</t>
  </si>
  <si>
    <t>Tivi LED LG 55UB700T 55"</t>
  </si>
  <si>
    <t>Tivi LED LG 55UB700T 55" (Loại tivi: Led UHD /Kích thước: 55" /Độ phân giải Ultra HD 4K(3840x2160) / Tần số quét: 100Hz /NetCast/Công suất: 150w/ Công suất loa: 20w )</t>
  </si>
  <si>
    <t>LG</t>
  </si>
  <si>
    <t>Phòng Coffice</t>
  </si>
  <si>
    <t>Công ty cổ phần Pico</t>
  </si>
  <si>
    <t>Dàn âm thanh Hifi SONY MHC-V41D</t>
  </si>
  <si>
    <t>Loa</t>
  </si>
  <si>
    <t>Dàn âm thanh Hifi SONY MHC-V41D (Loại: Dàn âm thanh /Bộ Xử Lý: Spread Sound, ClearAudio+ /Karaoke: Có /Hệ Thống Các Loa /Định Dạng Đĩa /Đĩa CD: Có /Cổng Kết Nối: ARC (Kênh Trả Lại Âm Thanh) HDMI ARC /Bluetooth: Có /USB 2.0: Có /Kết nối khác: NFC,Karaoke,FM Radio)</t>
  </si>
  <si>
    <t>Loa âm trần Bose DS 100F</t>
  </si>
  <si>
    <t>Loa âm trần Bose DS 100F (Phản ứng tần số (+/- 3 dB): 75 Hz – 18 kHz /Dải tần số (-10 dB): 60 Hz – 20 kHz /Độ phân tán danh nghĩa: 160 ° hình nón /Điều khiển điện dài hạn: 100 W (cao điểm 400 W) /Độ nhạy (SPL / 1 W @ 1 m): 85 dB SPL /SPL tối đa @ 1 m: 05 dB SPL (111 dB SPL đỉnh) /Trở kháng: 8 Ω (transformer bypassed))</t>
  </si>
  <si>
    <t>Bose</t>
  </si>
  <si>
    <t>CT CP XD KT LA</t>
  </si>
  <si>
    <t>Bộ amply TOA A-2120</t>
  </si>
  <si>
    <t>Amply</t>
  </si>
  <si>
    <t>Bộ amply TOA A-2120 (Nguồn điện: 220-240V AC hoặc 24V DC /Công Suất ra: 120W /Đáp tuyến tần số: 50-20,000Hz /Độ méo tiếng Dưới 1% /Ngõ vào: Mic 1-3: -60dB 600Ω Cân bằng /AUX 1,2: -20dB, 10kΩ không cân bằng, CRA /Ngõ ra - /Trở kháng cao: 83Ω /Trở kháng thấp: 4Ω (22V) /Ngõ ra âm thanh: 0 dB(1.0mA), 600Ω, không cân bằng, Jắc cắm hoa sen(RCA) /Nguồn Phantom: Mic1 /Tỉ lệ S/N: Hơn 60dB /Điều chỉnh âm sắc: Bass/Treble /Mặt trước: Nhựa ABS, màu đen/Vỏ: Thép, Sơn màu đen /Kích thước: 420(R)x 100.9© 360.3(S)mm /Trọng lượng: 10.8kg)</t>
  </si>
  <si>
    <t>TOA</t>
  </si>
  <si>
    <t>Bộ Phoenix Audio MT454-DTIPA Octopus + 4 Microphone</t>
  </si>
  <si>
    <t>Micophone</t>
  </si>
  <si>
    <t>Bộ Phoenix Audio MT454-DTIPA Octopus (Rack Mountrack-mountable/requency Response20 Hz - 16 kHz /Mic Phantom Power24 V, 3 V /Featuresautomatic gain control, beamforming microphone array technology, bridge output capability, de-reverb filtering, noise suppression /Mic Channels4 mono /Mic Channels ConnectorXLR /Input Level Switchmic/line /Color Categorygray /Low Voltage PowerDC 5 V)</t>
  </si>
  <si>
    <t>Phoenix</t>
  </si>
  <si>
    <t>Bộ Microphone không dây JBL VM200</t>
  </si>
  <si>
    <t>Bộ Microphone không dây JBL VM200 (Micro không dây JBL VM200 thiết kế đẹp mắt, nhiều tính năng vượt trội. /Gồm 1 đầu thu và 2 tay micro không dây. /200 kênh tần số, phạm vi hoạt động 40m. /Bắt âm cực chuẩn, chống hú rít 98%. /Tính năng cảm biến tự ngắt, cảm biến gia tốc giúp tiết kiệm pin, độ bền bỉ.)</t>
  </si>
  <si>
    <t>JBL</t>
  </si>
  <si>
    <t>Công ty TNHH thương mại và điện tử Bảo Châu</t>
  </si>
  <si>
    <t>VII</t>
  </si>
  <si>
    <t xml:space="preserve">Màn hình máy tính </t>
  </si>
  <si>
    <t>Màn hình máy tính LCD Dell S2319H-23"</t>
  </si>
  <si>
    <t>LCD</t>
  </si>
  <si>
    <t xml:space="preserve">Màn hình máy tính LCD Dell S2319H (Kích thươc 23 inch/độ phân giải FHD: 1920x1080 / SP2X3W/VGA/HDMI/LED/IPS/Black ) </t>
  </si>
  <si>
    <t>36 Tháng</t>
  </si>
  <si>
    <t>TCKT</t>
  </si>
  <si>
    <t>Lê Thị Hà 88</t>
  </si>
  <si>
    <t>Trịnh Xuân Lộc =&gt;Nguyễn Thế Chính=&gt;Hà 88</t>
  </si>
  <si>
    <t>Màn hình máy tính LCD Dell P2719H 27"</t>
  </si>
  <si>
    <t xml:space="preserve">Màn hình máy tính LCD Dell P2719H (Kích thươc 27 inch/độ phân giải FHD: 1920x1080/5ms//250CD/VGA/HDMI/LED/IPS/Black ) </t>
  </si>
  <si>
    <t>Màn hình máy tính LCD Dell P2219H 21,5"</t>
  </si>
  <si>
    <t xml:space="preserve">Màn hình máy tính LCD Dell P2219H (Kích thươc 21,5 inch/độ phân giải FHD: 1920x1080/5ms//250CD/VGA/HDMI/LED/IPS/Black ) </t>
  </si>
  <si>
    <t>Ban Thiết Bị</t>
  </si>
  <si>
    <t>Màn hình máy tính LCD Dell P2422H 23,8"</t>
  </si>
  <si>
    <t xml:space="preserve">Màn hình máy tính LCD Dell P2422H (Kích thươc 23,8 inch/độ phân giải FHD: 1920x1080/5ms//250CD/VGA/HDMI/LED/IPS/Black ) </t>
  </si>
  <si>
    <t>Ban Thiết Kế</t>
  </si>
  <si>
    <t>Màn hình máy tính LCD Dell S2421H 23,8"</t>
  </si>
  <si>
    <t xml:space="preserve">Màn hình máy tính LCD Dell S2421H 23,8" (Kích thươc 23,8 inch/độ phân giải FHD: 1920x1080/5ms//250CD/VGA/HDMI/LED/IPS/Black ) </t>
  </si>
  <si>
    <t>Phòng Tài chính</t>
  </si>
  <si>
    <t>Trần Thị Mai Hoa =&gt; Đoàn Văn Công</t>
  </si>
  <si>
    <t>Nhân viên mới</t>
  </si>
  <si>
    <t>Bùi Minh Đại</t>
  </si>
  <si>
    <t>VIII</t>
  </si>
  <si>
    <t>Canon</t>
  </si>
  <si>
    <t>Nguyễn Thị Thanh Hoa</t>
  </si>
  <si>
    <t>Phụ kiện máy tính</t>
  </si>
  <si>
    <t>Bộ bàn phím chuột không dây Dell KM636</t>
  </si>
  <si>
    <t>Phụ kiện</t>
  </si>
  <si>
    <t>Lưu kho</t>
  </si>
  <si>
    <t>Phạm Quang Bình =&gt;Nguyễn Thanh Hải</t>
  </si>
  <si>
    <t>Bị hỏng</t>
  </si>
  <si>
    <t>Bộ bàn phím chuột không dây Logitech MK545</t>
  </si>
  <si>
    <t>Logitech</t>
  </si>
  <si>
    <t>Nguyễn Thế Chính</t>
  </si>
  <si>
    <t>Chuột không dây Logitech MX Anywhere 2S</t>
  </si>
  <si>
    <t>Chuột không dây Logitech MX Anywhere 2S (Chuột không dây Logitech MX Anywhere 2S Wireless /Độ phân giải quang học: 4000 DPI /7 nút thao tác và 1 cần gạt on/off /Kết nối thông qua cổng USB hoặc công nghệ Bluetooth /Khoảng cách tối đa 10m /Pin: Pin sạc Li-Po (500 mAh))</t>
  </si>
  <si>
    <t>Bàn phím cơ không dây Logitech G613</t>
  </si>
  <si>
    <t>Bàn phím cơ không dây Logitech G613 (Bàn phím chơi game không day Logitech : Logitech G613 Wireless /Switch Cơ học Romer-G /Kết nối không day LightSpeed /Tuổi thọ pin cao lên đến 18 tháng /Dãy phím Macro tiện dụng)</t>
  </si>
  <si>
    <t>X</t>
  </si>
  <si>
    <t>Thiết bị mạng</t>
  </si>
  <si>
    <t>Bộ định tuyến Router Draytek Vigor 2925FN</t>
  </si>
  <si>
    <t>Bộ định tuyến Router Draytek Vigor 2925FN (2 cổng Gigabit Ethernet WAN, WAN 1: slot SFP 100/1000Mbps, WAN 2: 10/100/1000 Mbps RJ45/4 cổng Gigabit Ethernet LAN 10/100/1000Mbps, RJ45. 2 cổng USB cho phép kết nối USB 3G/4G, Printer...)/2 Anten băng tần 2.4GHz, tốc độ 300Mbps với chuẩn 802.11n. Tạo tối đa 4 SSID./Firewall mạnh mẽ, linh hoạt, quản trị viên phân quyền truy cập Internet (IP/MAC Address…)/....)</t>
  </si>
  <si>
    <t>Drayteck</t>
  </si>
  <si>
    <t>Phòng họp</t>
  </si>
  <si>
    <t>Mạng FPT</t>
  </si>
  <si>
    <t>Bộ định tuyến Router Draytek Vigor 2925FN (2 cổng Gigabit Ethernet WAN, WAN 1: slot SFP 100/1000Mbps, WAN 2: 10/100/1000 Mbps RJ45/4 cổng Gigabit Ethernet LAN 10/100/1000Mbps, RJ45. 2 cổng USB cho phép kết nối USB 3G/4G, Printer...)/2 Anten băng tần 2.4GHz, tốc độ 300Mbps với chuẩn 802.11n. Tạo tối đa 4 SSID./Firewall mạnh mẽ, linh hoạt, quản trị viên phân quyền truy cập Internet (IP/MAC Address…)/...)</t>
  </si>
  <si>
    <t>Mạng VNPT</t>
  </si>
  <si>
    <t>Bộ chia mạng Switch CISCO SF90D-16</t>
  </si>
  <si>
    <t>Bộ chia mạng Switch CISCO SF90D-16 (Số cổng kết nối : 16 x RJ45 /Tốc độ truyền dữ liệu: 10/100Mbps/Chuẩn giao tiếp: IEEE 802.3, IEEE 802.3u /Nguồn: 100-240VAC/50-60Hz)</t>
  </si>
  <si>
    <t>Cisco</t>
  </si>
  <si>
    <t>Bộ chia mạng Switch CISCO SF90-24</t>
  </si>
  <si>
    <t>Bộ chia mạng Switch CISCO SF90-24 (Số cổng kết nối : 24 x RJ45 /Tốc độ truyền dữ liệu: 10/100Mbps/Chuẩn giao tiếp: IEEE 802.3, IEEE 802.3u /Nguồn: 100-240VAC/50-60Hz)</t>
  </si>
  <si>
    <t>Bộ phát wifi Unifi AP AC Pro</t>
  </si>
  <si>
    <t>Bộ phát wifi Unifi AP AC Pro (Unifi AP AC PRO là thiết bị phát sóng wifi chuyên dụng lắp đặt trong nhà. /Cấu hình tập trung bằng phần mềm Unifi Controller cài trên máy tính hoặc Cloud. /Hỗ trợ quản lý Guest Portal/Hotspot Support /Hỗ trợ roaming trơn chu /Hỗ trợ 2 băng tần đồng thời 2,4 Ghz và 5Ghz /Chuẩn 802.11 a/b/g/n/ac mới nhất (450 Mbps/ 2,4GHz và 1300 Mbps/ 5GHz) /Chế độ hoạt động: Access Point /Cổng kết nối: 02 LAN x 10/100/1000Mbps /Anten tích hợp sẵn: MIMO 3x3 (2,4GHz)  &amp; MIMO 3x3 ( 5GHz) /Bảo mật: WEP, WPA-PSK, WPA-TKIP, WPA2 AES, 802.11i /Hỗ trợ: VLAN theo chuẩn 802.11Q, WMM, giới hạn tốc độ truy cập AP cho từng người dùng /Vùng phủ sóng: bán kính phát sóng tối đa 120m trong môi trường không có vật chắn /Hỗ trợ kết nối đồng thời tối đa: 200 người)</t>
  </si>
  <si>
    <t>Unifi</t>
  </si>
  <si>
    <t>Wifi.com.vn</t>
  </si>
  <si>
    <t>Bộ chia mạng Switch TP-Link TL-SG1024D</t>
  </si>
  <si>
    <t>Bộ chia mạng Switch TP-Link TL-SG1024D (24 cổng 10/100/1000Mbps. /Công nghệ tiết kiệm năng lượng sáng tạo giúp tiết kiệm năng lượng tiêu thụ. /Hỗ trợ tự học địa chỉ MAC, tự động MDI/MDIX và đàm phán tự động. /Thiết kế cắm vào và sử dụng. )</t>
  </si>
  <si>
    <t>TP-Link</t>
  </si>
  <si>
    <t>Bộ Phát Wifi 4G Alcatel HH70</t>
  </si>
  <si>
    <t>Bộ phát Wifi 3G/4G ALCATEL HH70 (Alcatel HH70 là một sản phẩm wifi 3G/4G đa chức năng và mạnh mẽ khi sử dụng Chipset cao cấp của thương hiệu nổi tiếng Qualcomm MDM9240-1 giúp cho thiết bị hoạt động ổn định và bền bỉ. /Tốc độ 4G Download lên tới 300Mbps và tốc độ Upload lên tới 100Mbps. /Tốc độ 3G: Dowload lên tới 43.2Mbps và tốc độ Upload lên tới 5.76Mbps​ /Hỗ trợ băng tần mạng: 4G BAND: LTE BAnd 3 (1800Mhz) , 7 (2600Mhz) , 20 (800Mhz)/3G BAND: DC-HSPA+/HSPA+/HSPA/UMTS 900 / 1800 / 2100 MHz/2G BAND: GSM/GPRS/ED​​​​GE 850/900​/​1800/1900 MHz /Alcatel HH70 hỗ trợ băng tần kép 2.4Ghz &amp; 5Ghz  và wifi chuẩn 802.11ac Wave 2 1167Mbps. Hỗ trợ bảo mật WPA/WPA2 -PSK. /Hỗ trợ kết nối 64 máy truy cập đồng thời trên cả 2 băng tần. /02 cổng anten chuẩn SMA để lắp thêm anten ngoài giúp tăng cường sóng 3G/4G. /Cổng mạng: 1 cổng Gigabit Ethernet thích ứng Wan/Lan, 1 cổng Gigabit Lan. /Alcatel 4GEE HH70 sử dụng chuẩn sim Nano Sim, tương thích với tất cả các nhà mạng tại Việt Nam và hầu hết các nhà mạng trên thế giới /Bộ phát Wifi 3G/4G Alcatel HH70 phù hợp lắp đặt cho xe ô tô, xe khách, xe du lịch, lắp đặt trên tàu thuyền, tàu du lịch, văn phòng, quán cafe, hộ gia đình, hệ thống camera,.../Kích thước: 146 x 146 x 32mm /Trọng lượng: 650g. )</t>
  </si>
  <si>
    <t>Alcatel</t>
  </si>
  <si>
    <t>XI</t>
  </si>
  <si>
    <t>Điện thoại cố định</t>
  </si>
  <si>
    <t>Điện thoại kéo dài Panasonic KX-TGD312</t>
  </si>
  <si>
    <t>Điện thoại kéo dài Panasonic KX-TGD312 (Màn hình LCD 1.8”/cấu hình chuẩn : 1 mẹ +1 con. Khả năng mở rộng tối đa tới 6 tay con /Pin thoại lên tới 16h, thời gian chờ 200h)</t>
  </si>
  <si>
    <t>Tổng đài Panasonic KXTES824</t>
  </si>
  <si>
    <t>Tổng đài điện thoại</t>
  </si>
  <si>
    <t>Tổng đài Panasonic KXTES824 (Tích hợp 5 trung kế, 16 thuê bao/ Có thể nâng cấp tối đa 24 thuê bao/Tích hợp kênh lời chào khi khách gọi đến/TL: 3,5kg, KT: 368x284x117mm)</t>
  </si>
  <si>
    <t>CT CP CN Nam Trường Giang</t>
  </si>
  <si>
    <t>Bộ chuyển đổi ATA VoIP Grandstream HT818</t>
  </si>
  <si>
    <t>Bộ chuyển đổi ATA VoIP Grandstream HT818 (Gateway HT818 hỗ trợ 2 SIP profile có thể kết nối đến 2 SIP server khác nhau. /8 cổng điện thoại analog FXS. /Tính hợp 2 cổng mạng LAN. /Hỗ trợ IPv4/IPv6. /Hỗ trợ PPPoE/DHCP/Static IP. /LED trạng thái cho điện, internet, LINK / ACT và trạng thái điện thoại. /Grandstream HT818 hỗ trợ lên đến 8 tài khoản SIP Account. /Các tính năng thoại nâng cao bao gồm hiển thị số người gọi (CID), cuộc gọi chờ. /Sử dụng chuyển đổi cho tổng đài IP hoặc tài khoản SIP Acount tổng đài Cloud. /Thiết bị chuyển đổi HT818 hỗ trợ Failover SIP server tự động.)</t>
  </si>
  <si>
    <t>Grandstream</t>
  </si>
  <si>
    <t>XII</t>
  </si>
  <si>
    <t>Máy quay Sony HDR-PJ660VE (tích hợp máy chiếu)</t>
  </si>
  <si>
    <t>Máy quay</t>
  </si>
  <si>
    <t>Máy quay Sony HDR-PJ660VE (Tích hợp máy chiếu với chức năng Input Function (lên đến 100 inch)/Cân bằng quang học Balanced Optical SteadyShot/Ống kính góc rộng 26.8mm/Cảm biến Exmor R™ CMOS/Bột nhớ trong 64GB/Chụp ảnh tĩnh lên đến 20.4MP)</t>
  </si>
  <si>
    <t>Máy ảnh Canon EOS 6D</t>
  </si>
  <si>
    <t>Máy Ảnh</t>
  </si>
  <si>
    <t>Máy ảnh Canon EOS 6D (Cảm biến CMOS fullframe 20.2 megapixel /Bộ xử lý hình ảnh DIGIC 5+ /ISO 100-25600 ( mở rộng 102400) /Hệ thống đo nét tiên tiến với 11 điểm /Màn hình LCD 3.0inch /Tốc độ màn trập 1/4000 giây tới 30 giây /Tốc độ chụp liên tục tối đa 4.5 hình/giây /Thẻ nhớ tương thích : SD/ SDHC/SDXC /Tích hợp Wi-Fi,GPS /Trọng lượng  675g /Pin tương thích LP-E6)</t>
  </si>
  <si>
    <t>Lens Canon EF 24-105mm f/4L IS USM</t>
  </si>
  <si>
    <t>Lens</t>
  </si>
  <si>
    <t>Lens Canon EF 24-105mm f/4L IS USM (Ngàm EF dòng L-series /Khẩu độ F/4-22 /Thấu kính Super UD và 3 thấu kính phi cầu /Hệ thống ổn định hình ảnh quang học IS /Ultrasonic Focus Motor /Manual Focus Override /Khả năng chống bụi và chống thấm nước /Khoảng cách lấy nét tối thiểu 45cm /Đường kính filter 77mm)</t>
  </si>
  <si>
    <t>Lens Canon EF 16-35mm f/4L IS USM</t>
  </si>
  <si>
    <t>Lens Canon EF 16-35mm f/4L IS USM (Cấu trúc ống kính: 16 thấu kính trong 12 nhóm. /Số lá màn chập: 9, Mô-tơ lấy nét: USM /Lấy nét thông minh, Khoảng cách lấy nét gần nhất: 28cm. /Filter Size: Ø77mm /Tiêu cự quy đổi 1.6x APS-C: 25,6 - 56mm /Thiết kế nhỏ gọn; tháo lắp dễ dàng, Trọng lượng 615gram)</t>
  </si>
  <si>
    <t>Máy ảnh Nickon D5100 + Lens</t>
  </si>
  <si>
    <t>Máy ảnh Nickon D5100 + Lens (Cảm biến ảnh Nikon DX CMOS 16.2 Megapixels /Bộ xử lý ảnh EXPEED II, ISO cao nhất tới 25,600 /Hệ thống lấy nét tự động 3D-tracking AF 11 điểm /Hệ thống đo sáng Active D-Lighting thế hệ mới /Chế độ HDR cho các tình huống ánh sáng phức tạp /Quay phim Full-HD 1080p với hiệu ứng Cinematic /Màn hình xoay 3” độ phân giải 921,000 điểm ảnh /Ống kính kèm theo: AF-S 18-55 VR)</t>
  </si>
  <si>
    <t>Nikon</t>
  </si>
  <si>
    <t>Flaycam DJI Phantom 4 PRO</t>
  </si>
  <si>
    <t>Flycam</t>
  </si>
  <si>
    <t>Flaycam DJI Phantom 4 PRO (Chụp ảnh: 20 MP với cảm biến 1inch Exmor R CMOS /Quay phim: 4K (60fps) và FullHD 1080P (120fps) /Cảm biến: Chống ngại vật, chống va đập từ 5 hướng /Chức năng: Bay theo chủ thể và bám sát đối tượng trên màn hình /Điều khiển: Không có màn hình /Thời gian bay: 30 phút /Tầm bay xa: 7km /Tốc độ: 72 Km/h /Dãy cảm biến: 30 M /Dual compass and IMU)</t>
  </si>
  <si>
    <t>DJI</t>
  </si>
  <si>
    <t>Webcam Logitech PTZ Pro 2</t>
  </si>
  <si>
    <t>Webcam</t>
  </si>
  <si>
    <t>Hãng sản xuất:Logitech /Chủng loại:PTZ PRO 2 /PTZ:Quét ngang, nghiêng và thu phóng mượt mà bằng động cơ /Quét ngang: 260° /Quét nghiêng: 130° /Thu phóng: 10X /Trường ngắm: 90° /Độ phân giải: Full HD 1080p 30fps, Tiêu chuẩn H.264 UVC 1.5 với công nghệ Mã hóa Video có thể mở rộng (SVC) /Lấy nét: Tự động /Kết nối: USB /Kích thước (Cao x Rộng x Dài): Camera: 146 mm x 131 mm x 130 mm /Trọng lượng: Camera: 580 g /Tương thích và tích hợp: Khả năng kết nối USB để sử dụng ngay sau khi cắm; Điều khiển từ xa (PTZ) của các Camera hội nghị khác (với dịch vụ hỗ trợ); Hoạt động với hầu hết mọi ứng dụng hội nghị video hoặc dịch vụ hội họp; Được cấp phép Skype for Business; Tương thích với Cisco Jabber® và WebEx; Tích hợp nâng cao với các thành viên Chương trình Hợp tác của Logitech (LCP), bao gồm BlueJeans, Broadsoft, LifeSize Cloud, Vidyo, và Zoom</t>
  </si>
  <si>
    <t>XIII</t>
  </si>
  <si>
    <t xml:space="preserve">Tủ lạnh, Máy hút, Máy thổi bụi, </t>
  </si>
  <si>
    <t>Tủ lạnh Panasonic NR-BA178</t>
  </si>
  <si>
    <t>Tủ lạnh</t>
  </si>
  <si>
    <t>Tủ lạnh Panasonic NR-BA178 (Dung tích: 152 lít /Kiểu tủ: Ngăn đá trên - 2 cửa /Công nghệ Inverter, Econavi /Khay kính chịu lực /Xuất xứ: Việt Nam/Công nghệ làm lạnh Panorama độc quyền Panasonic giúp thực phầm luôn tươi ngon./Công nghệ kháng khuẩn khử mùi bằng tinh thể bạc tiêu diệt vi khuẩn và mùi hôi khó chịu./Hộc rau quả cung cấp độ ẩm cho rau quả tươi lâu trong thời gian dài.)</t>
  </si>
  <si>
    <t>Hút bụi HITACHI CV-995DC(24CV-GB)</t>
  </si>
  <si>
    <t>Máy hút bụi</t>
  </si>
  <si>
    <t>Hút bụi HITACHI CV-995DC(24CV-GB) (Màu sắc: Vàng /Xuất xứ: Thái Lan /Thời gian bảo hành: 12 tháng /Kiểu máy hút bụi: Cầm tay /Công suất: 2200 W /Công suất hút: 490 W /Dung tích chứa bụi: 23 Lít)</t>
  </si>
  <si>
    <t>Hitachi</t>
  </si>
  <si>
    <t>Siêu thị Nguyễn Kim</t>
  </si>
  <si>
    <t>Máy thổi bụi Bosch GBL 82-270</t>
  </si>
  <si>
    <t>Máy thổi bụi</t>
  </si>
  <si>
    <t>Máy thổi bụi Bosch GBL 82-270 (Công suất 820W /Màu sắc: màu xanh đen/Chiều dài dây 2 m/Trọng lượng 1.8 kg/Lưu lượng khí 4.5 m3/ph/Tốc độ không tải  0-16000 rpm/Phụ kiện tiêu chuẩn: Vòi phun/Xuất xứ Ấn Độ)</t>
  </si>
  <si>
    <t>Bosch</t>
  </si>
  <si>
    <t>CT CP mạng trực tuyến Meta</t>
  </si>
  <si>
    <t>XIV</t>
  </si>
  <si>
    <t>Máy hủy tài liệu, Máy đếm tiền, Máy ép Plastic Tủ chống ẩm</t>
  </si>
  <si>
    <t>Máy hủy tài liệu NiKatei PS-720C</t>
  </si>
  <si>
    <t>Máy hủy tài liệu</t>
  </si>
  <si>
    <t>Máy hủy tài liệu NiKatei PS-720C (Kiểu cắt Cắt vụn/Số tờ căt ( khoảng 70g) 14/Tự động tắt bật Có/Đảo ngược Có/Báo nóng và quá tải Có/Tự động tắt khi kẹt giấy Có/Chu kỳ 1 lần hoạt động &gt;10 phút/Kích thước cắt 4x30/Kích cỡ cửa cho giấy (mm)/(inch):  230mm (A4)/Kích cỡ hủy CD và thẻ (mm) 35/9/Dung thích thùng đựng giấy hủy(Gal/L) 5.9/22.5 / Hủy CDs/DVDs/Độ ồn (db) &lt;55/Loại motor (Universal/DC)  Động cơ tụ điện/Công suất tiêu thụ 210W/Loại thùng rác Tháo rời/Bánh xe có/Tốc độ  (M/Min) 2.8/Báo thùng rác đầy có/Kích thước sản phẩm  (LxWxHmm): 376*287*540/Công nghệ Nhật Bản, chính hãng)</t>
  </si>
  <si>
    <t>NiKatei</t>
  </si>
  <si>
    <t>Mediamart</t>
  </si>
  <si>
    <t>Máy hủy tài liệu NiKatei PS-720C (Kiểu cắt Cắt vụn/Số tờ căt ( khoảng 70g) 14/Tự động tắt bật Có/Đảo ngược Có/Báo nóng và quá tải Có/Tự động tắt khi kẹt giấy Có/Chu kỳ 1 lần hoạt động &gt;10 phút/Kích thước cắt 4x30/Kích cỡ cửa cho giấy (mm)/(inch):  230mm (A4)/Kích cỡ hủy CD và thẻ (mm) 35/9/Dung thích thùng đựng giấy hủy(Gal/L) 5.9/22.5/Hủy gim kẹp giấy / Hủy gim bấm / Hủy thẻ  / Hủy CDs/DVDs/Độ ồn (db) &lt;55/Loại motor (Universal/DC)  Động cơ tụ điện/Công suất tiêu thụ 210W/Loại thùng rác Tháo rời/Bánh xe có/Tốc độ  (M/Min) 2.8/Báo thùng rác đầy có/Kích thước sản phẩm  (LxWxHmm): 376*287*540/Công nghệ Nhật Bản, chính hãng)</t>
  </si>
  <si>
    <t>Máy ép Plastic TEXET LMA4-V</t>
  </si>
  <si>
    <t>Máy ép Plastic</t>
  </si>
  <si>
    <t>Máy ep Plastic TEXET LMA4-V (Ép phim dày: 100-160 micron /Độ rộng ép tối đa: 230 mm /Tốc độ ép: 250 mm/phút /Thời gian khởi động: 3 - 5 phút)</t>
  </si>
  <si>
    <t>TEXET</t>
  </si>
  <si>
    <t>06 Tháng</t>
  </si>
  <si>
    <t>Tủ chống ẩm Eureka DX-76</t>
  </si>
  <si>
    <t>Tủ chống ẩm</t>
  </si>
  <si>
    <t>Tủ chống ẩm Eureka DX-76 (Hoạt động theo nguyên lý tự động kiểm duyệt bằng IC thông minh/Đồng hồ cơ hoạt động theo nguyên lý cảm ứng điện từ bởi nhiệt độ và độ ẩm sản xuất tại Germany/Độ ẩm an toàn 25 - 55 % RH/Điện áp 110 - 240 v công suất từ 3W - 48W (tùy dung tích)/Chất liệu thép không rỉ, sơn tĩnh điện. Cánh kính chịu lực hoặc cánh kín/Hoạt động liên tục, bền bỉ, tiết kiệm điện năng thân thiện với môi trường không gây tiếng ồn...)</t>
  </si>
  <si>
    <t>Eureka</t>
  </si>
  <si>
    <t>Máy đếm tiền Balion NH-314S</t>
  </si>
  <si>
    <t>Máy đếm tiền</t>
  </si>
  <si>
    <t>Máy đếm tiền Balion NH-314S (Tự động đếm, phát hiện tiền giả, tiền siêu giả polyme bằng công nghệ 3D, tia cực tím và hệ thống mắt mầu /Tự động nhận biết tiền lẫn loại. /Hiển thi 2 mặt số, có mặt số kéo dài /Đếm ấn định số, đếm cộng dồn, có hút bụi. /Tự động kiểm tra tình trạng máy.)</t>
  </si>
  <si>
    <t>Balion</t>
  </si>
  <si>
    <t>Nguyễn Thị Ngọc Anh</t>
  </si>
  <si>
    <t>Tổng cộng</t>
  </si>
  <si>
    <t>Long=&gt;Hà=&gt;Duy=&gt;Phượng</t>
  </si>
  <si>
    <t>Phục vụ họp Cả Cty</t>
  </si>
  <si>
    <t>Ban Đấu Thầu</t>
  </si>
  <si>
    <t>Ban Kinh Doanh</t>
  </si>
  <si>
    <t>Ban Marketing</t>
  </si>
  <si>
    <t>Trần Thị Thùy Anh</t>
  </si>
  <si>
    <t>Ban TCKT</t>
  </si>
  <si>
    <t>Desktop Dell Vostro 3470 (Pentium G5400 3,7Ghz, /4GB RAM4-Bus 2400/1TB HDD/Intel HD Graphic/Win 10) +LCD Dell E2219HN 21,5"(1920 x 1080)</t>
  </si>
  <si>
    <t>Desktop Dell Vostro 3470 (Pentium G5400 3,7Ghz, /8GB RAM4-Bus 2400/1TB HDD/Intel HD Graphic/Win 10) + LCD Dell P2219H 23"(1920 x 1080)</t>
  </si>
  <si>
    <t>UT1 - Thay</t>
  </si>
  <si>
    <t>Phượng =&gt; Thảo=&gt;Chi</t>
  </si>
  <si>
    <t>Vũ Thị Linh Chi</t>
  </si>
  <si>
    <t>Desktop Dell Vostro 3671 (Pentium G5420 3,8Ghz, /8GB RAM4-Bus 2400/SSD 240GB/Intel UHD Graphic/Win 10)  + LCD Dell SE2219HX 21.5"(1920x1080)</t>
  </si>
  <si>
    <t>Ngô Tuấn Duy=&gt;Thảo&gt;Nghĩa</t>
  </si>
  <si>
    <t>Nguyễn Thị Hoài Trang =&gt; Linh</t>
  </si>
  <si>
    <t>Tại Thị Thùy Linh</t>
  </si>
  <si>
    <t>All</t>
  </si>
  <si>
    <t>Máy chủ Scan</t>
  </si>
  <si>
    <t>Desktop Dell Inspiron 3030S + LCD Dell S2319H-23"</t>
  </si>
  <si>
    <t>Desktop Dell Inspiron 3030S (i3 14100 4,7Ghz/8GB RAM5-Bus 4400/512GB SSD Nvme, /Intel UHD 770/Win 11) + LCD Dell S2319H-23" (1920 x1080)</t>
  </si>
  <si>
    <t>ATLĐ-Nguyễn Hải Quân</t>
  </si>
  <si>
    <t>Desktop Dell Inspiron 3470 (70157878) + LCD Dell S2421H</t>
  </si>
  <si>
    <t>Desktop Dell Inspiron 3470 (Pentium G5400 3,7Ghz, /4GB RAM4-Bus 2400/SSD 500GB/Intel HD Graphic/Win 10) + + LCD Dell S2421H (1920 x1080)</t>
  </si>
  <si>
    <t>Hoa =&gt; Nga</t>
  </si>
  <si>
    <t>Hùng =&gt; Phạm Ngọc Sơn</t>
  </si>
  <si>
    <t>Desktop Lenovo V530S-07ICB (i3 8100 3,6Ghz/8GB RAM4-Bus 2666/500GB SSD/Intel HD Graphic 610/Win 10) + LCD Dell E2219HN 21,5"(1920 x 1080)</t>
  </si>
  <si>
    <t>Desktop Dell Inspiron 3470 (i5 8400 2,8Ghz/8GB RAM4-Bus 2666/1TB SSD/Intel UHD Graphic 630/Win 10) + LCD Dell E2219HN 21,5"(1920 x 1080)</t>
  </si>
  <si>
    <t>Phạm Mai Trang</t>
  </si>
  <si>
    <t>Hà Trang =&gt; Mai Trang</t>
  </si>
  <si>
    <t>Desktop Lenovo V520S-10NKA00DVA (Pentium G4560 3,5Ghz /8GB RAM4-Bus 2400/500GB SSD/Intel HD Graphic/Win 10)  + LCD Dell E2219HN 21,5"(1920 x 1080)</t>
  </si>
  <si>
    <t>Desktop Dell Vostro 3681 (42VT360003)(i3 10100 2,9Ghz/8GB RAM4-Bus 32000/250GB SSD M2, 1TB HDD/Intel HD Graphic 630/Win 10) + LCD Dell S2421HN 23,8"(1920 x 1080)</t>
  </si>
  <si>
    <t>UT2 - Thay</t>
  </si>
  <si>
    <t>KẾ HOẠCH
NS NĂM</t>
  </si>
  <si>
    <t>Máy quay, máy ảnh, Flaycam, Webcam, Camera, Chấm công</t>
  </si>
  <si>
    <t>Máy Chấm Công ZKTeco V5L(P)</t>
  </si>
  <si>
    <t>Chấm công</t>
  </si>
  <si>
    <t>Máy Chấm Công ZKTeco V5L(P) (Thiết bị chấm công và kiểm soát ra vào bằng Khuôn mặt, Lòng bàn tay, Vân tay, Thẻ, Mật mã /Đàm thoại video call 2 chiều với server nội bộ /Tốc độ nhận diện khuôn mặt nhanh, chính xác. Hỗ trợ nhận dạng khuôn mặt khi đeo khẩu trang./ Dung lượng sử dụng: 6.000 Khuôn mặt, 3.000 lòng bàn tay,  6.000 vân tay, 10.000 thẻ, 10.000 người / Bộ nhớ giao dịch: 200.000 lần /Phương thức kết nối: cổng USB, mạng lan TCP/IP, Wifi (optional), Cloud /Phần mềm chấm công bằng Tiếng Việt, khả năng mở rộng kết nối đa điểm / Kết hợp được với khóa điện để tạo thành hệ thống kiểm soát ra vào, thang máy).</t>
  </si>
  <si>
    <t>ZKTeco</t>
  </si>
  <si>
    <t>Cửa Trước</t>
  </si>
  <si>
    <t>Công ty TNHH Thế giới vân tay</t>
  </si>
  <si>
    <t>Cửa Sau</t>
  </si>
  <si>
    <t>Ban Pháp Chế</t>
  </si>
  <si>
    <t>Lê Thị Lộc</t>
  </si>
  <si>
    <t>Đức =&gt; Lê Thị Lộc</t>
  </si>
  <si>
    <t>Desktop Lenovo V530S-15ICB +  LCD Dell E2219HN</t>
  </si>
  <si>
    <t>Desktop Lenovo V530S-15ICB (Pentium G5400 3,7Ghz /8GB RAM4-Bus 2666/120GB SSD, 1TB HDD/Intel HD Graphic/Win 10)  + LCD Dell E2219HN 21,5"(1920 x 1080)</t>
  </si>
  <si>
    <t>Đỗ Thị Hồng Nhung</t>
  </si>
  <si>
    <t>Sơn =&gt; Đỗ Thị Hồng Nhung</t>
  </si>
  <si>
    <t>Nâng cấp SSD, RAM, Bàn phím</t>
  </si>
  <si>
    <t>Desktop Lenovo V530S-15ICB (Pentium G5400 3,7Ghz /12GB RAM4-Bus 2666/1 TB SSD/Intel HD Graphic/Win 10)  + LCD Dell SE2219HX 21,5"(1920 x 1080)</t>
  </si>
  <si>
    <t>Lưu kho Server</t>
  </si>
  <si>
    <t>Bị hỏng 2 quả Pin</t>
  </si>
  <si>
    <t>DANH SÁCH MÁY MÓC THIẾT BỊ VĂN PHÒNG TẬP ĐOÀN ĐẠT PHƯƠNG</t>
  </si>
  <si>
    <t>CÔNG TY CỔ PHẦN TẬP ĐOÀN ĐẠT PHƯƠNG
BAN CÔNG NGHỆ THÔNG TIN</t>
  </si>
  <si>
    <t>(Danh sách cập nhập đến năm 2025)</t>
  </si>
  <si>
    <t>THỰC HIỆN
NS NĂM</t>
  </si>
  <si>
    <t>Đã mua</t>
  </si>
  <si>
    <t>Chưa mua</t>
  </si>
  <si>
    <t xml:space="preserve">Còn 1 Server SEM chưa mua </t>
  </si>
  <si>
    <t xml:space="preserve">UT1 - Thay (Mua năm 2025); UT2 - Thay (Mua năm 2026); </t>
  </si>
  <si>
    <t>Lê Trọng Đạo</t>
  </si>
  <si>
    <t>Desktop Dell Vostro 3671 (MT71G5420W-4G-1T) + LCD Dell SE2219 HX 23,8"</t>
  </si>
  <si>
    <t>Desktop Dell Vostro 3671 (MT71G5420W-4G-1T) (Intel® Pentium® Gold G5420 (4M Cache, 3.8 GHz)/8GB RAM4-Bus 24000/250GB SSD M2, 1TB HDD/Intel HD Graphic 610/Win 10) + LCD Dell SE2219 HX 23,8"(1920 x 1080)</t>
  </si>
  <si>
    <t>Đặng Thị Lan Anh</t>
  </si>
  <si>
    <t>Quản lý thiết bị văn phòng</t>
  </si>
  <si>
    <t xml:space="preserve"> Epson</t>
  </si>
  <si>
    <t>Máy in phun màu Epson L1800 (Chức năng: Print/Khổ giấy: A3+, A3, B4, A4, A5, A6, B5/Tốc độ: 15 trang đen A4/phút/In đảo mặt: Không/Độ phân giải: 5760 x 1440 dpi/Cổng giao tiếp: USB/Dùng mực: Epson T6731/T6732/T6733/T6734/T6735/T6736/Mô tả khác: Độ phân giải 5760x1440dpi, 5 bình mực lớn rời in được 12,800 trang (2 bình đen). Kích thước giọt mực nhỏ 3pl.)</t>
  </si>
  <si>
    <t>Máy in</t>
  </si>
  <si>
    <t>MTS105</t>
  </si>
  <si>
    <t>Máy in phun màu Epson L1800</t>
  </si>
  <si>
    <t>Phòng Thiết Kế</t>
  </si>
  <si>
    <t>Máy in Canon LBP 8780X (Khổ giấy: A3 / A4 / B5 / A5 / A6 / Legal / Letter / Executive / 16K Khổ tuỳ chọn (Chiều rộng: 105,0 đến 215,9mm x Chiều dài: 148,0 đến 355,6mm) /Bộ nhớ: 768Mb /Tốc độ In một mặt: A4/Letter: 33/ 35 trang/phút;In đảo mặt:A4/Letter:16,8/ 17 trang/phút /In đảo mặt: Có /Độ phân giải: 2,400 x 600dpi /Cổng giao tiếp: USB/ LAN /Dùng mực: Cartridge 333 (10,000 trang /Mô tả khác: Khay giấy cassette 250 tờ, khay tay 100 tờ)</t>
  </si>
  <si>
    <t>MTS165</t>
  </si>
  <si>
    <t>Máy in A3 Canon LBP8780X</t>
  </si>
  <si>
    <t>Máy in Canon LBP 6680X (Khổ giấy: A4 / B5 / A5 / A6 / Legal / Letter / Executive / 16K Khổ tuỳ chọn (Chiều rộng: 105,0 đến 215,9mm x Chiều dài: 148,0 đến 355,6mm) /Bộ nhớ: 768Mb /Tốc độ In một mặt: A4/Letter: 33/ 35 trang/phút;In đảo mặt:A4/Letter:16,8/ 17 trang/phút /In đảo mặt: Có /Độ phân giải: 2,400 x 600dpi /Cổng giao tiếp: USB/ LAN /Dùng mực: Cartridge 319 (2,100 trang /Mô tả khác: Khay giấy cassette 250 tờ, khay tay 50 tờ)</t>
  </si>
  <si>
    <t>MTS096</t>
  </si>
  <si>
    <t>Máy in Canon LBP 6680X</t>
  </si>
  <si>
    <t>Phòng Đầu Tư</t>
  </si>
  <si>
    <t>Ban Đầu Tư</t>
  </si>
  <si>
    <t>Máy in Canon LBP 226DW (Tốc độ in (A4): Lên tới 38 trang/phút /Thời gian in bản đầu tiên (FPOT, A4): Xấp xỉ 5,5 giây /Độ phân giải khi in: Lên tới 1.200 x 1.200dpi (tương đương) /Kết nối Gigabit Ethernet, Wi-Fi, Kết nối trực tiếp (Direct Connection) /Dùng mực: Cartridge 057: 3.100 trang (Theo máy: 3.100 trang), Cartridge 057H: 10.000 trang /Lượng bản in khuyến nghị hàng tháng: 750 - 4.000 trang)</t>
  </si>
  <si>
    <t>MTS098</t>
  </si>
  <si>
    <t>Máy in Canon LBP 226DW</t>
  </si>
  <si>
    <t>Máy in, Scan, Fax</t>
  </si>
  <si>
    <t>Đổi màn cho Hạnh</t>
  </si>
  <si>
    <t>Nguyễn Thị Hà =&gt; Phạm Phương Thủy</t>
  </si>
  <si>
    <t>Phạm Phương Thủy</t>
  </si>
  <si>
    <t>Phòng Marketing</t>
  </si>
  <si>
    <t>Desktop Dell Vostro 3671 (i3 9100 3,6Ghz/8GB RAM4-Bus 2400/256GB SSD M2, 1TB HDD/Intel UHD Graphic 620/Win 10) + LCD Dell SE2219HX 21.5"(1920x1080)</t>
  </si>
  <si>
    <t>MTS170</t>
  </si>
  <si>
    <t>Desktop Dell Vostro 3671-42VT370046 + LCD Dell SE2219HX 21.5"</t>
  </si>
  <si>
    <t>Nguyễn Thị Hồng Nhung</t>
  </si>
  <si>
    <t>Desktop Dell Vostro 3671 (Pentium G5420 3,8Ghz, /4GB RAM4-Bus 2400/SSD 120GB+1TB HDD/Intel UHD Graphic/Win 10)  + LCD Dell SE2219HX 21.5"(1920x1080)</t>
  </si>
  <si>
    <t>MTS071</t>
  </si>
  <si>
    <t>Bùi Thị Mỹ Hạnh</t>
  </si>
  <si>
    <t>MTS070</t>
  </si>
  <si>
    <t>Đỗ Việt Trinh =&gt; Nguyễn Đức Việt</t>
  </si>
  <si>
    <t>Nguyễn Đức Việt</t>
  </si>
  <si>
    <t>Desktop Lenovo V530S-15ICB (Pentium G5400 3,7Ghz /4GB RAM4-Bus 2666/120GB SSD, 1TB HDD/Intel HD Graphic/Win 10)  + LCD Dell SE2219HX 21,5"(1920 x 1080)</t>
  </si>
  <si>
    <t>MTS035</t>
  </si>
  <si>
    <t>Lê Văn Quyết</t>
  </si>
  <si>
    <t>Desktop Dell Inspiron 3470 (Pentium G5400 3,7Ghz, /8GB RAM4-Bus 2666/SSD M2 Sata 250GB + 1TB HDD/Intel HD Graphic/Win 10) +LCD Dell E2219HN 21,5"(1920 x 1080)</t>
  </si>
  <si>
    <t>MTS034</t>
  </si>
  <si>
    <t>Lương Thu Thảo</t>
  </si>
  <si>
    <t>Desktop Dell Inspiron 3891-MT (i3 10105 3,7Ghz/8GB RAM4-Bus 2666/250GB SSD, 1TB HDD/Intel UHD Graphic 630/Win 11+Office) + LCD Dell S2421H 23,8"(1920 x 1080)</t>
  </si>
  <si>
    <t>MTS201</t>
  </si>
  <si>
    <t xml:space="preserve">Desktop Dell Inspiron 3891-MT + LCD Dell S2421H 23.8" </t>
  </si>
  <si>
    <t>Đào Thanh Hương</t>
  </si>
  <si>
    <t>Desktop Render 3D - Case dựng (i7 12700 3,6Ghz/32GB RAM4-Bus 3600/256GB SSD M2, 2TB HDD/VGA Asus GTX2060/Win 10) + LCD Dell P2422H 24"(1920x1080)</t>
  </si>
  <si>
    <t>MTS202</t>
  </si>
  <si>
    <t>Desktop Render 3D - Case dựng + LCD Dell P2422H</t>
  </si>
  <si>
    <t>Vũ Quang Hải =&gt; Trần Thanh Tùng</t>
  </si>
  <si>
    <t>Đậu Thị Thùy Hương</t>
  </si>
  <si>
    <t>Desktop Render 3D - Case dựng (i7 11700 2,5Ghz/16GB RAM4-Bus 3600/256GB SSD M2, 2TB HDD/VGA Gigabyte GTX1650/Win 10) + LCD Dell SE2419HR 24"(1920x1080)</t>
  </si>
  <si>
    <t>MTS181</t>
  </si>
  <si>
    <t>Desktop Render 3D - Case dựng + LCD Dell SE2419HR</t>
  </si>
  <si>
    <t>Đoàn Văn Soát</t>
  </si>
  <si>
    <t>Desktop Render 3D - Case dựng (i9 11900K 3,5Ghz/64GB RAM4-Bus 3600/500GB SSD M2, 4TB HDD/VGA Gigabyte RTX3070Ti/Win 10) + LCD Dell U2719D 27"(2560 x 1440)</t>
  </si>
  <si>
    <t>MTS183</t>
  </si>
  <si>
    <t>Desktop Render 3D - Case dựng + LCD Dell U2719D 27"</t>
  </si>
  <si>
    <t>Trần Ngọc Sơn</t>
  </si>
  <si>
    <t>Ram 32G</t>
  </si>
  <si>
    <t>Desktop Render 3D - Case dựng (i9 9900K 3,6Ghz/64GB RAM4-Bus 3200/256GB SSD M2, 2TB HDD/VGA Asus RTX2060Super/Win 10) + LCD Dell P2418D 25"(2560 x 1440)</t>
  </si>
  <si>
    <t>MTS163</t>
  </si>
  <si>
    <t>Desktop Render 3D - Case dựng + LCD Dell U2520D 25"</t>
  </si>
  <si>
    <t>Vũ Thị Hiên</t>
  </si>
  <si>
    <t>Ram</t>
  </si>
  <si>
    <t>MTS032</t>
  </si>
  <si>
    <t>Nguyễn Duy Tuấn</t>
  </si>
  <si>
    <t>Ram 32G + Quạt CPU Noctua</t>
  </si>
  <si>
    <t>Desktop Render 3D - Case dựng (AMD Ryzen 2700x 3,7Ghz/64GB RAM4-Bus 3000/256GB SSD M2, 2TB HDD/VGA Gigabyte RTX2080/Win 10) + LCD Dell U2415 24"(1920 x 1080)</t>
  </si>
  <si>
    <t>MTS031</t>
  </si>
  <si>
    <t>Desktop Render 3D - Case dựng + LCD Dell U2415 24"</t>
  </si>
  <si>
    <t>Đỗ Chí Nhân</t>
  </si>
  <si>
    <t>Ram 8GB</t>
  </si>
  <si>
    <t>Desktop Dell Inspiron 3470 (i5 8400 2,8Ghz/16GB RAM4-Bus 2666/128GB SSD, 1TB HDD/Intel UHD Graphic 630/Win 10) + LCD Dell E2219HN 21,5"(1920 x 1080)</t>
  </si>
  <si>
    <t>MTS030</t>
  </si>
  <si>
    <t>Vũ Văn Hà</t>
  </si>
  <si>
    <t>MTS029</t>
  </si>
  <si>
    <t>23.2.2021 Hỏng SSD nên thay</t>
  </si>
  <si>
    <t>Phan Thế Phúc</t>
  </si>
  <si>
    <t>Chuột + SSD 256 GB + Ram 8GB</t>
  </si>
  <si>
    <t>Desktop Dell Inspiron 3470 (i5 8400 2,8Ghz/16GB RAM4-Bus 2666/256GB SSD, 1TB HDD/Intel UHD Graphic 630/Win 10) + LCD Dell E2219HN 21,5"(1920 x 1080)</t>
  </si>
  <si>
    <t>MTS028</t>
  </si>
  <si>
    <t>Nguyễn Đức Anh =&gt;Bùi Xuân Trường</t>
  </si>
  <si>
    <t>Bùi Xuân Trường</t>
  </si>
  <si>
    <t>Nâng cấp SSD, chuột + Ram 8GB</t>
  </si>
  <si>
    <t>Desktop Dell Inspiron 3668MT (i5 7400 3,0 Ghz/16GB RAM4-Bus 2666/120Gb SSD, 1TB HDD/Nvidia Geforce 730 2G DDR3/Win 10) + LCD Dell E2219HN 21,5"(1920 x 1080)</t>
  </si>
  <si>
    <t>MTS026</t>
  </si>
  <si>
    <t>Đỗ Thị Nhung</t>
  </si>
  <si>
    <t>MTS191</t>
  </si>
  <si>
    <t>Nguyễn Thanh Hà</t>
  </si>
  <si>
    <t>Laptop Dell Vostro 5402(70231338) (i7 1165G7 2,8Ghz /16GB RAM4-Bus 3200/512GB SSD M2 Ple/Nvidia MX330 2Gb DDR5/14" FHD (1920 x 1080) IPS/Win 10)</t>
  </si>
  <si>
    <t>MTS062</t>
  </si>
  <si>
    <t>Laptop Dell Vostro 5402(70231338)</t>
  </si>
  <si>
    <t>MTS023</t>
  </si>
  <si>
    <t>Đào Tuấn Nam</t>
  </si>
  <si>
    <t>SSD</t>
  </si>
  <si>
    <t>Laptop HP Pavilion 15-cs3061TX (i5 1035G1 1,0Ghz /8GB RAM4-Bus 2666/512GB SSD/NVIDIA GeForce MX250 2GB GDDR5/15.6" FHD (1920 x 1080) IPS/Win 10)</t>
  </si>
  <si>
    <t>MTS020</t>
  </si>
  <si>
    <t>Laptop HP Pavilion 15-cs3061TX</t>
  </si>
  <si>
    <t>DANH SÁCH MÁY MÓC THIẾT BỊ THANH LÝ CHO ĐPHA</t>
  </si>
  <si>
    <t>TẬP ĐOÀN ĐẠT PHƯƠNG
BAN CNTT</t>
  </si>
  <si>
    <t>Desktop Render 3D - Case dựng + LCD Dell P2725D 27"</t>
  </si>
  <si>
    <t>Desktop Render 3D - Case dựng (i7 14700 3,6Ghz/64GB RAM5-Bus 6000/SamSung 990 Pro 1TB SSD M2, 6TB HDD/VGA Gigabyte GTX4070 Super/Win 11) + LCD Dell P2422H 24"(2560 x 1440)</t>
  </si>
  <si>
    <t>Phòng QLTK</t>
  </si>
  <si>
    <t>Phòng Kinh Doanh</t>
  </si>
  <si>
    <t>Tăng Mạnh Hùng</t>
  </si>
  <si>
    <t>Desktop Dell Slim ECS1250 + LCD Dell E2219HN</t>
  </si>
  <si>
    <t>Desktop Dell Slim ECS1250 (Core i3 14100 3,5Ghz/8GB RAM5-Bus 4800/500GB SSD PCLe NVME/Intel UHD 730/PSU 180W/MediaTek Wi-Fi 6 MT7920, 2x2, 802.11ax, MU-MIMO, Bluetooth/Win 11) + LCD Dell E2219HN 21,5"(1920 x 1080)</t>
  </si>
  <si>
    <t>HĐH</t>
  </si>
  <si>
    <t>Microsoft Project</t>
  </si>
  <si>
    <t>Microsoft Office</t>
  </si>
  <si>
    <t>Foxit PhantomPDF</t>
  </si>
  <si>
    <t>AutoCAD</t>
  </si>
  <si>
    <t>Adobe Photoshop</t>
  </si>
  <si>
    <t>Adobe Illustrator</t>
  </si>
  <si>
    <t>Autodesk 3ds Max</t>
  </si>
  <si>
    <t>Autodesk Revit</t>
  </si>
  <si>
    <t>SketchUp</t>
  </si>
  <si>
    <t>Adobe Premiere</t>
  </si>
  <si>
    <t>QUẢN LÝ PHẦN CỨNG THIẾT BỊ VĂN PHÒNG</t>
  </si>
  <si>
    <t>QUẢN LÝ PHẦN MỀM THIẾT BỊ VĂN PHÒNG</t>
  </si>
  <si>
    <t>SQL Server</t>
  </si>
  <si>
    <t>WinRAR</t>
  </si>
  <si>
    <r>
      <t xml:space="preserve">Office Home 2021
</t>
    </r>
    <r>
      <rPr>
        <sz val="9"/>
        <color rgb="FFFF0000"/>
        <rFont val="Times New Roman"/>
        <family val="1"/>
      </rPr>
      <t>(BQ theo máy)</t>
    </r>
  </si>
  <si>
    <r>
      <t xml:space="preserve">Windows 11 Pro 
</t>
    </r>
    <r>
      <rPr>
        <sz val="9"/>
        <color rgb="FFFF0000"/>
        <rFont val="Times New Roman"/>
        <family val="1"/>
      </rPr>
      <t>(BQ theo máy)</t>
    </r>
  </si>
  <si>
    <r>
      <t xml:space="preserve">Office 365
</t>
    </r>
    <r>
      <rPr>
        <sz val="9"/>
        <color rgb="FFFF0000"/>
        <rFont val="Times New Roman"/>
        <family val="1"/>
      </rPr>
      <t>(Bản quyền CN)</t>
    </r>
  </si>
  <si>
    <r>
      <t xml:space="preserve">Windows 10 Pro 
</t>
    </r>
    <r>
      <rPr>
        <sz val="9"/>
        <color rgb="FFFF0000"/>
        <rFont val="Times New Roman"/>
        <family val="1"/>
      </rPr>
      <t>(BQ theo máy)</t>
    </r>
  </si>
  <si>
    <r>
      <t xml:space="preserve">Office Pro 2019
</t>
    </r>
    <r>
      <rPr>
        <sz val="9"/>
        <color rgb="FFFF0000"/>
        <rFont val="Times New Roman"/>
        <family val="1"/>
      </rPr>
      <t>(Crack)</t>
    </r>
  </si>
  <si>
    <r>
      <t xml:space="preserve">AutoCAD 2024
</t>
    </r>
    <r>
      <rPr>
        <sz val="9"/>
        <color rgb="FFFF0000"/>
        <rFont val="Times New Roman"/>
        <family val="1"/>
      </rPr>
      <t>(Crack)</t>
    </r>
  </si>
  <si>
    <r>
      <t xml:space="preserve">WinRAR 5
</t>
    </r>
    <r>
      <rPr>
        <sz val="9"/>
        <color rgb="FFFF0000"/>
        <rFont val="Times New Roman"/>
        <family val="1"/>
      </rPr>
      <t>(Crack)</t>
    </r>
  </si>
  <si>
    <r>
      <t xml:space="preserve">Version 10
</t>
    </r>
    <r>
      <rPr>
        <sz val="9"/>
        <color rgb="FFFF0000"/>
        <rFont val="Times New Roman"/>
        <family val="1"/>
      </rPr>
      <t>(Crack)</t>
    </r>
  </si>
  <si>
    <r>
      <t xml:space="preserve">AutoCAD 2021
</t>
    </r>
    <r>
      <rPr>
        <sz val="9"/>
        <color rgb="FFFF0000"/>
        <rFont val="Times New Roman"/>
        <family val="1"/>
      </rPr>
      <t>(Crack)</t>
    </r>
  </si>
  <si>
    <r>
      <t xml:space="preserve">Windows 11 Home 
</t>
    </r>
    <r>
      <rPr>
        <sz val="9"/>
        <color rgb="FFFF0000"/>
        <rFont val="Times New Roman"/>
        <family val="1"/>
      </rPr>
      <t>(BQ theo máy)</t>
    </r>
  </si>
  <si>
    <r>
      <t xml:space="preserve">Office Home 2024
</t>
    </r>
    <r>
      <rPr>
        <sz val="9"/>
        <color rgb="FFFF0000"/>
        <rFont val="Times New Roman"/>
        <family val="1"/>
      </rPr>
      <t>(BQ theo máy)</t>
    </r>
  </si>
  <si>
    <r>
      <t xml:space="preserve">Windows 10 Home 
</t>
    </r>
    <r>
      <rPr>
        <sz val="9"/>
        <color rgb="FFFF0000"/>
        <rFont val="Times New Roman"/>
        <family val="1"/>
      </rPr>
      <t>(BQ theo máy)</t>
    </r>
  </si>
  <si>
    <r>
      <t xml:space="preserve">Windows 10 Pro 
</t>
    </r>
    <r>
      <rPr>
        <sz val="9"/>
        <color rgb="FFFF0000"/>
        <rFont val="Times New Roman"/>
        <family val="1"/>
      </rPr>
      <t>(Crack)</t>
    </r>
  </si>
  <si>
    <r>
      <t xml:space="preserve">AutoCAD 2010
</t>
    </r>
    <r>
      <rPr>
        <sz val="9"/>
        <color rgb="FFFF0000"/>
        <rFont val="Times New Roman"/>
        <family val="1"/>
      </rPr>
      <t>(Crack)</t>
    </r>
  </si>
  <si>
    <r>
      <t xml:space="preserve">Windows 7 
</t>
    </r>
    <r>
      <rPr>
        <sz val="9"/>
        <color rgb="FFFF0000"/>
        <rFont val="Times New Roman"/>
        <family val="1"/>
      </rPr>
      <t>(Crack)</t>
    </r>
  </si>
  <si>
    <t>Desktop Dell Vostro 3470-HXKWJ1 + LCD Dell E2219HN</t>
  </si>
  <si>
    <r>
      <t xml:space="preserve">Windows 11 Pro 
</t>
    </r>
    <r>
      <rPr>
        <sz val="9"/>
        <color rgb="FFFF0000"/>
        <rFont val="Times New Roman"/>
        <family val="1"/>
      </rPr>
      <t>(BQ mua theo CTY)</t>
    </r>
  </si>
  <si>
    <r>
      <t xml:space="preserve">Windows 10 Pro 
</t>
    </r>
    <r>
      <rPr>
        <sz val="9"/>
        <color rgb="FFFF0000"/>
        <rFont val="Times New Roman"/>
        <family val="1"/>
      </rPr>
      <t>(BQ mua theo CTY)</t>
    </r>
  </si>
  <si>
    <r>
      <t xml:space="preserve">Windows 11 Pro 
</t>
    </r>
    <r>
      <rPr>
        <sz val="9"/>
        <color rgb="FFFF0000"/>
        <rFont val="Times New Roman"/>
        <family val="1"/>
      </rPr>
      <t>(Crack)</t>
    </r>
  </si>
  <si>
    <r>
      <t xml:space="preserve">Office 365
</t>
    </r>
    <r>
      <rPr>
        <sz val="9"/>
        <color rgb="FFFF0000"/>
        <rFont val="Times New Roman"/>
        <family val="1"/>
      </rPr>
      <t>(Bản quyền CTY)</t>
    </r>
  </si>
  <si>
    <r>
      <t xml:space="preserve">Office 365
</t>
    </r>
    <r>
      <rPr>
        <sz val="9"/>
        <color rgb="FFFF0000"/>
        <rFont val="Times New Roman"/>
        <family val="1"/>
      </rPr>
      <t>(Crack)</t>
    </r>
  </si>
  <si>
    <r>
      <t xml:space="preserve">Adobe Photoshop CC
</t>
    </r>
    <r>
      <rPr>
        <sz val="9"/>
        <color rgb="FFFF0000"/>
        <rFont val="Times New Roman"/>
        <family val="1"/>
      </rPr>
      <t>(Crack)</t>
    </r>
  </si>
  <si>
    <r>
      <t xml:space="preserve">Adobe Illustrator 2024
</t>
    </r>
    <r>
      <rPr>
        <sz val="9"/>
        <color rgb="FFFF0000"/>
        <rFont val="Times New Roman"/>
        <family val="1"/>
      </rPr>
      <t>(Crack)</t>
    </r>
  </si>
  <si>
    <r>
      <t xml:space="preserve">Adobe Premiere Pro 
</t>
    </r>
    <r>
      <rPr>
        <sz val="9"/>
        <color rgb="FFFF0000"/>
        <rFont val="Times New Roman"/>
        <family val="1"/>
      </rPr>
      <t>(Crack)</t>
    </r>
  </si>
  <si>
    <r>
      <t xml:space="preserve">Office Home 2016
</t>
    </r>
    <r>
      <rPr>
        <sz val="9"/>
        <color rgb="FFFF0000"/>
        <rFont val="Times New Roman"/>
        <family val="1"/>
      </rPr>
      <t>(Bản quyền CTY)</t>
    </r>
  </si>
  <si>
    <r>
      <t xml:space="preserve">Office 2016 standard
</t>
    </r>
    <r>
      <rPr>
        <sz val="9"/>
        <color rgb="FFFF0000"/>
        <rFont val="Times New Roman"/>
        <family val="1"/>
      </rPr>
      <t>(Bản quyền CTY)</t>
    </r>
  </si>
  <si>
    <r>
      <t xml:space="preserve">Microsoft Project 2019
</t>
    </r>
    <r>
      <rPr>
        <sz val="9"/>
        <color rgb="FFFF0000"/>
        <rFont val="Times New Roman"/>
        <family val="1"/>
      </rPr>
      <t>(Crack)</t>
    </r>
  </si>
  <si>
    <r>
      <t xml:space="preserve">Windows Server 2022 Standard
</t>
    </r>
    <r>
      <rPr>
        <sz val="9"/>
        <color rgb="FFFF0000"/>
        <rFont val="Times New Roman"/>
        <family val="1"/>
      </rPr>
      <t>(BQ mua theo CTY)</t>
    </r>
  </si>
  <si>
    <r>
      <t xml:space="preserve">Windows Server 2019 Standard
</t>
    </r>
    <r>
      <rPr>
        <sz val="9"/>
        <color rgb="FFFF0000"/>
        <rFont val="Times New Roman"/>
        <family val="1"/>
      </rPr>
      <t>(Crack)</t>
    </r>
  </si>
  <si>
    <r>
      <t xml:space="preserve">Windows Server 2016 Standard
</t>
    </r>
    <r>
      <rPr>
        <sz val="9"/>
        <color rgb="FFFF0000"/>
        <rFont val="Times New Roman"/>
        <family val="1"/>
      </rPr>
      <t>(Crack)</t>
    </r>
  </si>
  <si>
    <r>
      <t xml:space="preserve">SQL Server 2022
</t>
    </r>
    <r>
      <rPr>
        <sz val="9"/>
        <color rgb="FFFF0000"/>
        <rFont val="Times New Roman"/>
        <family val="1"/>
      </rPr>
      <t>(BQ mua theo CTY)</t>
    </r>
  </si>
  <si>
    <r>
      <t xml:space="preserve">SQL Server 2019
</t>
    </r>
    <r>
      <rPr>
        <sz val="9"/>
        <color rgb="FFFF0000"/>
        <rFont val="Times New Roman"/>
        <family val="1"/>
      </rPr>
      <t>(Crack)</t>
    </r>
  </si>
  <si>
    <r>
      <t xml:space="preserve">SQL Server 2016
</t>
    </r>
    <r>
      <rPr>
        <sz val="9"/>
        <color rgb="FFFF0000"/>
        <rFont val="Times New Roman"/>
        <family val="1"/>
      </rPr>
      <t>(Crack)</t>
    </r>
  </si>
  <si>
    <t>Lê Minh Hiếu</t>
  </si>
  <si>
    <t>Desktop Dell Slim ECS1250 + LCD Dell S2425H</t>
  </si>
  <si>
    <t>Desktop Dell Slim ECS1250 (Core i3 14100 3,5Ghz/8GB RAM5-Bus 4800/500GB SSD PCLe NVME/Intel UHD 730/PSU 180W/MediaTek Wi-Fi 6 MT7920, 2x2, 802.11ax, MU-MIMO, Bluetooth/Win 11) + LCD Dell S2425H 23,8"(1920 x 1080)</t>
  </si>
  <si>
    <t>Nguyễn Thùy Linh =&gt; Đỗ Thị Nhung</t>
  </si>
  <si>
    <t>Tivi, Loa, Amply, máy chiếu, bộ họp trực tuyến</t>
  </si>
  <si>
    <t>Bộ họp trực tuyến Logitech Conferencecam Group + Thiết bị mở rộng Microphone cho Logitech Group</t>
  </si>
  <si>
    <t>Họp trực tuyến</t>
  </si>
  <si>
    <t>Phòng Họp 1</t>
  </si>
  <si>
    <r>
      <rPr>
        <b/>
        <sz val="9"/>
        <rFont val="Times New Roman"/>
        <family val="1"/>
      </rPr>
      <t>Bộ họp trực tuyến Logitech Conferencecam Group + Thiết bị mở rộng Microphone cho Logitech Group</t>
    </r>
    <r>
      <rPr>
        <sz val="9"/>
        <rFont val="Times New Roman"/>
        <family val="1"/>
      </rPr>
      <t xml:space="preserve">
"- Giải pháp hội nghị truyền hình vừa túi tiền cho các phòng họp lên tới 14 người ( có thể lên tới 20 người khi dùng cùng mic mở rộng )
- Thấy mọi chi tiết với video HD và khả năng thu phóng 10 lần
- CAMERA :Lấy nét tự động, quét ngang +/- 90° , Nghiêng +35° / -45 , Trường ngắm: Chéo: 90° , ngang: 82,1° , dọc: 52,2°
- Hoạt động với các ứng dụng hội họp và hội nghị truyền hình của bạn
- Âm thanh trong trẻo như pha lê dành cho tối đa 14 | 20 (tiêu chuẩn | + kéo dài)
- MIC : loại bỏ tiếng vọng , công nghệ giảm tiếng ồn , âm thanh băng siêu rộng , phạm vi thu 6m, phạm vi thu với mic kéo dài 8,5 m, bốn micrô tạo chùm theo mọi hướng
- Tương thích : Windows® 7, 8.1 hoặc 10, macOS 10.10 trở lên</t>
    </r>
  </si>
  <si>
    <t>SSD + keyboard</t>
  </si>
  <si>
    <t>Mai Vũ Huyền Trang</t>
  </si>
  <si>
    <t>Bộ phát Router 5G AX1800 Wi-Fi TP-LINK NX200</t>
  </si>
  <si>
    <t>Bộ phát Router 5G AX1800 Wi-Fi TP-LINK NX200 (Mạng 5G Tốc Độ Cao - Tận dụng mạng 5G tiên tiến của bạn với tốc độ tải xuống lên đến 4.67 Gbps. Chia sẻ mạng 5G của bạn với nhiều thiết bị Wi-Fi và tận hưởng các bộ phim Ultra HD không gián đoạn, tải file nhanh chóng, và cuộc gọi video, họp trực tuyến mượt mà / Wi-Fi 6 AX1800 Băng Tần Kép - 1201 Mbps (5 GHz) + 574 Mbps (2.4 GHz)).</t>
  </si>
  <si>
    <t>Đại hội đồng cổ đông</t>
  </si>
  <si>
    <t>Bộ phát wifi Mesh Tp-Link Deco X60 3 pack WIFI 6 AX3000/AX5400</t>
  </si>
  <si>
    <t>Bộ phát wifi Mesh Tp-Link Deco X60 3 pack WIFI 6 AX3000/AX5400 (Wi-Fi 6 có tốc độ lên đến 3,000 Mbps — 2,402 Mbps trên 5 GHz và 574 Mbps trên 2.4 GHz / Kết nối nhiều thiết bị hơn với công nghệ OFDMA và MU-MIMO / Một Mạng Thống Nhất: Nhiều thiết bị tạo thành một mạng toàn gia đình, tự động chọn kết nối tốt nhất khi bạn di chuyển xung quanh nhà).</t>
  </si>
  <si>
    <t>Laptop Apple Macbook Pro 14 M4 Max</t>
  </si>
  <si>
    <t>Laptop Apple Macbook Pro 14 M4 Max 14CPU, 32GPU, 36GB RAM, 1TB SSD, 3024 x 1964 pixels, màu đen | Chính hãng Apple Việt Nam</t>
  </si>
  <si>
    <t>Phạm Tú Cường</t>
  </si>
  <si>
    <t>CÔNG TY TNHH THƯƠNG MẠI TỔNG HỢP HTV (CellPhone S)</t>
  </si>
  <si>
    <t>Máy AI</t>
  </si>
  <si>
    <t>Ban Ứng dụng AI</t>
  </si>
  <si>
    <t>Màn hình máy tính  LCD Dell UltraSharp U2725QE 27"</t>
  </si>
  <si>
    <t xml:space="preserve">Màn hình máy tính  LCD Dell UltraSharp U2725QE 27" (Kích thươc 27 inch/độ phân giải 4K (3840 x 2160)/5ms/Độ sáng: 600cd/m2/Tần số:120Hz/VGA/HDMI/LED/IPS/Black ) </t>
  </si>
  <si>
    <r>
      <t xml:space="preserve">Mac OS Tahoe
</t>
    </r>
    <r>
      <rPr>
        <sz val="9"/>
        <color rgb="FFFF0000"/>
        <rFont val="Times New Roman"/>
        <family val="1"/>
      </rPr>
      <t>(BQ theo máy)</t>
    </r>
  </si>
  <si>
    <t>Nguyễn Công Nhận</t>
  </si>
  <si>
    <t>Desktop Case dựng + LCD Dell Pro Plus P2725D</t>
  </si>
  <si>
    <t>Desktop Render 3D - Case dựng (i5 14400F 2,5Ghz/32GB RAM5-Bus 6000/1TB SSD M2 WD SN7100 /HDD 2TB /VGA Cigabyte RTX 5060/Win 11) + LCD Dell Pro Plus P2725D 27" (2560 x 1440)</t>
  </si>
  <si>
    <t>Desktop Case dựng + LCD Dell S2421HN</t>
  </si>
  <si>
    <t>Desktop Render 3D - Case dựng (i5 12400F 2,5Ghz/16GB RAM4-Bus 3200/512 SSD M2 KINGMAX Zeus PQ3480 /HDD 1TB /VGA Cigabyte RTX 3050/Win 11) + LCD Dell S2421HN 23,8"(1920 x 1080)</t>
  </si>
  <si>
    <t>Laptop Asus TUF Gaming A14 FA401GM-RG013W</t>
  </si>
  <si>
    <t>Laptop Asus TUF Gaming A14 FA401GM-RG013W AMD AI 9 465/32GB RAM/1TB SSD/14" 165Hz/GeForce RTX5060 8G/Win11/Xám</t>
  </si>
  <si>
    <t>Trần Hải Long</t>
  </si>
  <si>
    <t>Phạm Ngọc Diệp</t>
  </si>
  <si>
    <t>Nguyễn Gia Quang Minh</t>
  </si>
  <si>
    <t>Chi nhánh CTCP bán lẻ kỹ thuật số FPT tại Hà Nội</t>
  </si>
  <si>
    <t>W2NRKD00365606F</t>
  </si>
  <si>
    <t>W2NRKD00368606G</t>
  </si>
  <si>
    <t>W2NRKD003669066</t>
  </si>
  <si>
    <t>W2NRKD003694068</t>
  </si>
  <si>
    <t xml:space="preserve">Số Serial </t>
  </si>
  <si>
    <t>Màn hình Dell Pro Plus P2725D 27"</t>
  </si>
  <si>
    <t>IPS</t>
  </si>
  <si>
    <t xml:space="preserve">Màn hình Dell Pro Plus P2725D Kích thươc 27 inch/độ phân giải 42K (2560 x 1440)/5ms/Độ sáng: 350cd/m2/Tần số:100Hz/VGA/HDMI/LED/IPS/Black ) </t>
  </si>
  <si>
    <t xml:space="preserve"> Công ty Cổ phần Đầu tư Công nghệ HACOM</t>
  </si>
  <si>
    <t>Chuột không dây Logitech MX Anywhere 3S</t>
  </si>
  <si>
    <t>Chuột không dây Logitech MX Anywhere 2S (Chuột không dây Logitech MX Anywhere 2S Wireless /Độ phân giải quang học: 4000 DPI /7 nút thao tác và 1 cần gạt on/off /Kết nối thông qua cổng USB hoặc công nghệ Bluetooth /Khoảng cách tối đa 10m /Pin: Pin sạc Li-Po (500 mAh)</t>
  </si>
  <si>
    <t>Chuột không dây Logitech MX Anywhere 3S Graphite (Chuột không dây Logitech MX Anywhere 3S Wireless /Độ phân giải quang học: 8000 DPI /7 nút thao tác và 1 cần gạt on/off /Kết nối thông qua cổng USB hoặc công nghệ Bluetooth /Khoảng cách tối đa 10m /Pin: Pin sạc Li-Po (500 mAh)</t>
  </si>
  <si>
    <t>Máy in HP LaserJet Pro 4003dw (2Z610A)</t>
  </si>
  <si>
    <t>TT CĐS</t>
  </si>
  <si>
    <t>Cả TT</t>
  </si>
  <si>
    <t>Lê Anh Dũng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</si>
</sst>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9" x14ac:knownFonts="1">
    <font>
      <sz val="11"/>
      <color theme="1"/>
      <name val="Aptos Narrow"/>
      <family val="2"/>
      <scheme val="minor"/>
    </font>
    <font>
      <sz val="10"/>
      <name val="Arial"/>
      <family val="2"/>
    </font>
    <font>
      <sz val="11"/>
      <name val="Aptos Narrow"/>
      <family val="2"/>
      <scheme val="minor"/>
    </font>
    <font>
      <sz val="11"/>
      <name val="Times New Roman"/>
      <family val="1"/>
    </font>
    <font>
      <sz val="12"/>
      <name val=".VnTime"/>
      <family val="2"/>
    </font>
    <font>
      <b/>
      <sz val="14"/>
      <name val="Arial"/>
      <family val="2"/>
    </font>
    <font>
      <sz val="9"/>
      <name val="Times New Roman"/>
      <family val="1"/>
    </font>
    <font>
      <b/>
      <sz val="10"/>
      <name val="Times New Roman"/>
      <family val="1"/>
    </font>
    <font>
      <i/>
      <sz val="10"/>
      <name val="Times New Roman"/>
      <family val="1"/>
    </font>
    <font>
      <b/>
      <sz val="11"/>
      <name val="Times New Roman"/>
      <family val="1"/>
    </font>
    <font>
      <b/>
      <sz val="9"/>
      <name val="Times New Roman"/>
      <family val="1"/>
    </font>
    <font>
      <sz val="9"/>
      <name val="Aptos Narrow"/>
      <family val="2"/>
      <scheme val="minor"/>
    </font>
    <font>
      <sz val="10"/>
      <name val="Times New Roman"/>
      <family val="1"/>
    </font>
    <font>
      <sz val="9"/>
      <color rgb="FF212529"/>
      <name val="Times New Roman"/>
      <family val="1"/>
    </font>
    <font>
      <sz val="9"/>
      <color theme="1"/>
      <name val="Times New Roman"/>
      <family val="1"/>
    </font>
    <font>
      <sz val="9"/>
      <color theme="1"/>
      <name val="Times New Roman"/>
      <family val="1"/>
    </font>
    <font>
      <sz val="9"/>
      <color rgb="FFFF0000"/>
      <name val="Times New Roman"/>
      <family val="1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6"/>
      <name val="Times New Roman"/>
      <family val="1"/>
    </font>
    <font>
      <b/>
      <i/>
      <sz val="16"/>
      <name val="Times New Roman"/>
      <family val="1"/>
    </font>
    <font>
      <b/>
      <sz val="20"/>
      <name val="Times New Roman"/>
      <family val="1"/>
    </font>
    <font>
      <sz val="12"/>
      <name val="Times New Roman"/>
      <family val="1"/>
    </font>
    <font>
      <b/>
      <sz val="12"/>
      <name val="Maven Pro"/>
    </font>
    <font>
      <b/>
      <sz val="13"/>
      <name val="Times New Roman"/>
      <family val="1"/>
    </font>
    <font>
      <sz val="13"/>
      <name val="Times New Roman"/>
      <family val="1"/>
    </font>
    <font>
      <b/>
      <sz val="14"/>
      <name val="Times New Roman"/>
      <family val="1"/>
    </font>
    <font>
      <b/>
      <sz val="12"/>
      <name val="Times New Roman"/>
      <family val="1"/>
    </font>
    <font>
      <sz val="8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59999389629810485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4" fillId="0" borderId="0"/>
  </cellStyleXfs>
  <cellXfs count="179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14" fontId="1" fillId="0" borderId="0" xfId="0" applyNumberFormat="1" applyFont="1" applyAlignment="1">
      <alignment vertical="center"/>
    </xf>
    <xf numFmtId="3" fontId="1" fillId="0" borderId="0" xfId="0" applyNumberFormat="1" applyFont="1" applyAlignment="1">
      <alignment vertical="center"/>
    </xf>
    <xf numFmtId="49" fontId="1" fillId="0" borderId="0" xfId="0" applyNumberFormat="1" applyFont="1" applyAlignment="1">
      <alignment vertical="center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/>
    </xf>
    <xf numFmtId="0" fontId="5" fillId="0" borderId="0" xfId="1" applyFont="1" applyAlignment="1">
      <alignment vertical="center"/>
    </xf>
    <xf numFmtId="49" fontId="6" fillId="0" borderId="1" xfId="1" applyNumberFormat="1" applyFont="1" applyBorder="1" applyAlignment="1">
      <alignment horizontal="center" vertical="center"/>
    </xf>
    <xf numFmtId="0" fontId="10" fillId="2" borderId="1" xfId="1" applyFont="1" applyFill="1" applyBorder="1" applyAlignment="1">
      <alignment horizontal="center" vertical="center"/>
    </xf>
    <xf numFmtId="0" fontId="10" fillId="2" borderId="1" xfId="1" applyFont="1" applyFill="1" applyBorder="1" applyAlignment="1">
      <alignment vertical="center"/>
    </xf>
    <xf numFmtId="49" fontId="6" fillId="2" borderId="1" xfId="1" applyNumberFormat="1" applyFont="1" applyFill="1" applyBorder="1" applyAlignment="1">
      <alignment horizontal="center" vertical="center"/>
    </xf>
    <xf numFmtId="0" fontId="6" fillId="2" borderId="1" xfId="1" applyFont="1" applyFill="1" applyBorder="1" applyAlignment="1">
      <alignment horizontal="center" vertical="center"/>
    </xf>
    <xf numFmtId="0" fontId="6" fillId="2" borderId="1" xfId="1" applyFont="1" applyFill="1" applyBorder="1" applyAlignment="1">
      <alignment vertical="center"/>
    </xf>
    <xf numFmtId="14" fontId="6" fillId="2" borderId="1" xfId="1" applyNumberFormat="1" applyFont="1" applyFill="1" applyBorder="1" applyAlignment="1">
      <alignment horizontal="center" vertical="center"/>
    </xf>
    <xf numFmtId="3" fontId="6" fillId="2" borderId="1" xfId="1" applyNumberFormat="1" applyFont="1" applyFill="1" applyBorder="1" applyAlignment="1">
      <alignment horizontal="center" vertical="center"/>
    </xf>
    <xf numFmtId="0" fontId="6" fillId="2" borderId="1" xfId="1" applyFont="1" applyFill="1" applyBorder="1" applyAlignment="1">
      <alignment horizontal="center" vertical="center" wrapText="1"/>
    </xf>
    <xf numFmtId="0" fontId="11" fillId="0" borderId="0" xfId="0" applyFont="1" applyAlignment="1">
      <alignment vertical="center"/>
    </xf>
    <xf numFmtId="0" fontId="6" fillId="0" borderId="1" xfId="1" applyFont="1" applyBorder="1" applyAlignment="1">
      <alignment horizontal="center" vertical="center"/>
    </xf>
    <xf numFmtId="0" fontId="6" fillId="0" borderId="1" xfId="1" applyFont="1" applyBorder="1" applyAlignment="1">
      <alignment vertical="center"/>
    </xf>
    <xf numFmtId="0" fontId="12" fillId="0" borderId="1" xfId="1" applyFont="1" applyBorder="1" applyAlignment="1">
      <alignment horizontal="center" vertical="center"/>
    </xf>
    <xf numFmtId="14" fontId="6" fillId="0" borderId="1" xfId="1" applyNumberFormat="1" applyFont="1" applyBorder="1" applyAlignment="1">
      <alignment horizontal="center" vertical="center"/>
    </xf>
    <xf numFmtId="3" fontId="6" fillId="0" borderId="1" xfId="1" applyNumberFormat="1" applyFont="1" applyBorder="1" applyAlignment="1">
      <alignment horizontal="center" vertical="center"/>
    </xf>
    <xf numFmtId="49" fontId="6" fillId="3" borderId="1" xfId="1" applyNumberFormat="1" applyFont="1" applyFill="1" applyBorder="1" applyAlignment="1">
      <alignment horizontal="center" vertical="center"/>
    </xf>
    <xf numFmtId="0" fontId="14" fillId="3" borderId="1" xfId="0" applyFont="1" applyFill="1" applyBorder="1" applyAlignment="1">
      <alignment horizontal="left" vertical="center"/>
    </xf>
    <xf numFmtId="0" fontId="6" fillId="3" borderId="1" xfId="1" applyFont="1" applyFill="1" applyBorder="1" applyAlignment="1">
      <alignment horizontal="center" vertical="center"/>
    </xf>
    <xf numFmtId="0" fontId="13" fillId="3" borderId="1" xfId="0" applyFont="1" applyFill="1" applyBorder="1" applyAlignment="1">
      <alignment horizontal="left" vertical="center" wrapText="1"/>
    </xf>
    <xf numFmtId="14" fontId="6" fillId="3" borderId="1" xfId="1" applyNumberFormat="1" applyFont="1" applyFill="1" applyBorder="1" applyAlignment="1">
      <alignment horizontal="center" vertical="center"/>
    </xf>
    <xf numFmtId="3" fontId="6" fillId="3" borderId="1" xfId="1" applyNumberFormat="1" applyFont="1" applyFill="1" applyBorder="1" applyAlignment="1">
      <alignment horizontal="center" vertical="center"/>
    </xf>
    <xf numFmtId="0" fontId="6" fillId="3" borderId="1" xfId="0" applyFont="1" applyFill="1" applyBorder="1" applyAlignment="1">
      <alignment vertical="center"/>
    </xf>
    <xf numFmtId="0" fontId="11" fillId="3" borderId="0" xfId="0" applyFont="1" applyFill="1" applyAlignment="1">
      <alignment vertical="center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vertical="center"/>
    </xf>
    <xf numFmtId="0" fontId="6" fillId="0" borderId="1" xfId="0" applyFont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/>
    </xf>
    <xf numFmtId="0" fontId="6" fillId="3" borderId="1" xfId="1" applyFont="1" applyFill="1" applyBorder="1" applyAlignment="1">
      <alignment vertical="center"/>
    </xf>
    <xf numFmtId="0" fontId="6" fillId="3" borderId="1" xfId="0" applyFont="1" applyFill="1" applyBorder="1" applyAlignment="1">
      <alignment horizontal="left" vertical="center"/>
    </xf>
    <xf numFmtId="0" fontId="6" fillId="3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vertical="center"/>
    </xf>
    <xf numFmtId="0" fontId="6" fillId="2" borderId="1" xfId="0" applyFont="1" applyFill="1" applyBorder="1" applyAlignment="1">
      <alignment horizontal="center" vertical="center" wrapText="1"/>
    </xf>
    <xf numFmtId="0" fontId="6" fillId="0" borderId="1" xfId="1" applyFont="1" applyBorder="1" applyAlignment="1">
      <alignment vertical="center" wrapText="1"/>
    </xf>
    <xf numFmtId="0" fontId="6" fillId="3" borderId="1" xfId="1" applyFont="1" applyFill="1" applyBorder="1" applyAlignment="1">
      <alignment vertical="center" wrapText="1"/>
    </xf>
    <xf numFmtId="0" fontId="15" fillId="3" borderId="1" xfId="1" applyFont="1" applyFill="1" applyBorder="1" applyAlignment="1">
      <alignment horizontal="center" vertical="center"/>
    </xf>
    <xf numFmtId="14" fontId="15" fillId="3" borderId="1" xfId="1" applyNumberFormat="1" applyFont="1" applyFill="1" applyBorder="1" applyAlignment="1">
      <alignment horizontal="center" vertical="center"/>
    </xf>
    <xf numFmtId="3" fontId="15" fillId="3" borderId="1" xfId="1" applyNumberFormat="1" applyFont="1" applyFill="1" applyBorder="1" applyAlignment="1">
      <alignment horizontal="center" vertical="center"/>
    </xf>
    <xf numFmtId="49" fontId="15" fillId="3" borderId="1" xfId="1" applyNumberFormat="1" applyFont="1" applyFill="1" applyBorder="1" applyAlignment="1">
      <alignment horizontal="center" vertical="center"/>
    </xf>
    <xf numFmtId="0" fontId="15" fillId="3" borderId="1" xfId="0" applyFont="1" applyFill="1" applyBorder="1" applyAlignment="1">
      <alignment horizontal="center" vertical="center"/>
    </xf>
    <xf numFmtId="0" fontId="15" fillId="3" borderId="1" xfId="0" applyFont="1" applyFill="1" applyBorder="1" applyAlignment="1">
      <alignment vertical="center"/>
    </xf>
    <xf numFmtId="0" fontId="6" fillId="3" borderId="1" xfId="1" applyFont="1" applyFill="1" applyBorder="1" applyAlignment="1">
      <alignment horizontal="left" vertical="center"/>
    </xf>
    <xf numFmtId="0" fontId="15" fillId="3" borderId="1" xfId="1" applyFont="1" applyFill="1" applyBorder="1" applyAlignment="1">
      <alignment vertical="center"/>
    </xf>
    <xf numFmtId="0" fontId="15" fillId="3" borderId="1" xfId="1" applyFont="1" applyFill="1" applyBorder="1" applyAlignment="1">
      <alignment vertical="center" wrapText="1"/>
    </xf>
    <xf numFmtId="0" fontId="11" fillId="2" borderId="0" xfId="0" applyFont="1" applyFill="1" applyAlignment="1">
      <alignment vertical="center"/>
    </xf>
    <xf numFmtId="0" fontId="6" fillId="0" borderId="1" xfId="1" applyFont="1" applyBorder="1" applyAlignment="1">
      <alignment horizontal="left" vertical="center" wrapText="1"/>
    </xf>
    <xf numFmtId="0" fontId="6" fillId="0" borderId="1" xfId="0" applyFont="1" applyBorder="1" applyAlignment="1">
      <alignment vertical="center" wrapText="1"/>
    </xf>
    <xf numFmtId="0" fontId="6" fillId="0" borderId="1" xfId="1" applyFont="1" applyBorder="1" applyAlignment="1">
      <alignment vertical="top" wrapText="1"/>
    </xf>
    <xf numFmtId="0" fontId="2" fillId="0" borderId="0" xfId="0" applyFont="1" applyAlignment="1">
      <alignment horizontal="center" vertical="center"/>
    </xf>
    <xf numFmtId="14" fontId="2" fillId="0" borderId="0" xfId="0" applyNumberFormat="1" applyFont="1" applyAlignment="1">
      <alignment vertical="center"/>
    </xf>
    <xf numFmtId="3" fontId="2" fillId="0" borderId="0" xfId="0" applyNumberFormat="1" applyFont="1" applyAlignment="1">
      <alignment vertical="center"/>
    </xf>
    <xf numFmtId="49" fontId="2" fillId="0" borderId="0" xfId="0" applyNumberFormat="1" applyFont="1" applyAlignment="1">
      <alignment vertical="center"/>
    </xf>
    <xf numFmtId="0" fontId="2" fillId="0" borderId="0" xfId="0" applyFont="1" applyAlignment="1">
      <alignment horizontal="center" vertical="center" wrapText="1"/>
    </xf>
    <xf numFmtId="3" fontId="3" fillId="0" borderId="0" xfId="0" applyNumberFormat="1" applyFont="1" applyAlignment="1">
      <alignment vertical="center"/>
    </xf>
    <xf numFmtId="49" fontId="16" fillId="3" borderId="1" xfId="1" applyNumberFormat="1" applyFont="1" applyFill="1" applyBorder="1" applyAlignment="1">
      <alignment horizontal="center" vertical="center"/>
    </xf>
    <xf numFmtId="0" fontId="19" fillId="0" borderId="0" xfId="1" applyFont="1" applyAlignment="1">
      <alignment horizontal="center" vertical="center"/>
    </xf>
    <xf numFmtId="0" fontId="19" fillId="0" borderId="0" xfId="1" applyFont="1" applyAlignment="1">
      <alignment vertical="center"/>
    </xf>
    <xf numFmtId="0" fontId="2" fillId="3" borderId="0" xfId="0" applyFont="1" applyFill="1" applyAlignment="1">
      <alignment vertical="center"/>
    </xf>
    <xf numFmtId="49" fontId="7" fillId="4" borderId="2" xfId="1" applyNumberFormat="1" applyFont="1" applyFill="1" applyBorder="1" applyAlignment="1">
      <alignment horizontal="center" vertical="center" wrapText="1"/>
    </xf>
    <xf numFmtId="0" fontId="7" fillId="4" borderId="2" xfId="1" applyFont="1" applyFill="1" applyBorder="1" applyAlignment="1">
      <alignment horizontal="center" vertical="center" wrapText="1"/>
    </xf>
    <xf numFmtId="14" fontId="7" fillId="4" borderId="2" xfId="1" applyNumberFormat="1" applyFont="1" applyFill="1" applyBorder="1" applyAlignment="1">
      <alignment horizontal="center" vertical="center" wrapText="1"/>
    </xf>
    <xf numFmtId="3" fontId="7" fillId="4" borderId="2" xfId="1" applyNumberFormat="1" applyFont="1" applyFill="1" applyBorder="1" applyAlignment="1">
      <alignment horizontal="center" vertical="center" wrapText="1"/>
    </xf>
    <xf numFmtId="0" fontId="13" fillId="0" borderId="1" xfId="0" applyFont="1" applyBorder="1" applyAlignment="1">
      <alignment horizontal="left" vertical="center" wrapText="1"/>
    </xf>
    <xf numFmtId="0" fontId="14" fillId="0" borderId="1" xfId="0" applyFont="1" applyBorder="1" applyAlignment="1">
      <alignment horizontal="left" vertical="center"/>
    </xf>
    <xf numFmtId="3" fontId="15" fillId="3" borderId="1" xfId="0" applyNumberFormat="1" applyFont="1" applyFill="1" applyBorder="1" applyAlignment="1">
      <alignment horizontal="center" vertical="center"/>
    </xf>
    <xf numFmtId="0" fontId="6" fillId="0" borderId="1" xfId="0" applyFont="1" applyBorder="1" applyAlignment="1">
      <alignment horizontal="left" vertical="center"/>
    </xf>
    <xf numFmtId="0" fontId="6" fillId="0" borderId="4" xfId="1" applyFont="1" applyBorder="1" applyAlignment="1">
      <alignment horizontal="center" vertical="center"/>
    </xf>
    <xf numFmtId="0" fontId="10" fillId="0" borderId="4" xfId="1" applyFont="1" applyBorder="1" applyAlignment="1">
      <alignment vertical="center"/>
    </xf>
    <xf numFmtId="49" fontId="6" fillId="0" borderId="4" xfId="1" applyNumberFormat="1" applyFont="1" applyBorder="1" applyAlignment="1">
      <alignment horizontal="center" vertical="center"/>
    </xf>
    <xf numFmtId="0" fontId="6" fillId="0" borderId="4" xfId="1" applyFont="1" applyBorder="1" applyAlignment="1">
      <alignment vertical="center"/>
    </xf>
    <xf numFmtId="0" fontId="6" fillId="0" borderId="4" xfId="0" applyFont="1" applyBorder="1" applyAlignment="1">
      <alignment vertical="center"/>
    </xf>
    <xf numFmtId="14" fontId="6" fillId="0" borderId="4" xfId="1" applyNumberFormat="1" applyFont="1" applyBorder="1" applyAlignment="1">
      <alignment horizontal="center" vertical="center"/>
    </xf>
    <xf numFmtId="3" fontId="6" fillId="0" borderId="4" xfId="1" applyNumberFormat="1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49" fontId="3" fillId="0" borderId="0" xfId="0" applyNumberFormat="1" applyFont="1" applyAlignment="1">
      <alignment vertical="center"/>
    </xf>
    <xf numFmtId="14" fontId="3" fillId="0" borderId="0" xfId="0" applyNumberFormat="1" applyFont="1" applyAlignment="1">
      <alignment vertical="center"/>
    </xf>
    <xf numFmtId="0" fontId="24" fillId="0" borderId="0" xfId="0" applyFont="1" applyAlignment="1">
      <alignment horizontal="center" vertical="center"/>
    </xf>
    <xf numFmtId="0" fontId="25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10" fillId="0" borderId="1" xfId="1" applyFont="1" applyBorder="1" applyAlignment="1">
      <alignment vertical="center"/>
    </xf>
    <xf numFmtId="0" fontId="10" fillId="0" borderId="1" xfId="1" applyFont="1" applyBorder="1" applyAlignment="1">
      <alignment horizontal="center" vertical="center"/>
    </xf>
    <xf numFmtId="0" fontId="6" fillId="3" borderId="0" xfId="0" applyFont="1" applyFill="1" applyAlignment="1">
      <alignment vertical="center"/>
    </xf>
    <xf numFmtId="0" fontId="6" fillId="5" borderId="1" xfId="0" applyFont="1" applyFill="1" applyBorder="1" applyAlignment="1">
      <alignment horizontal="center" vertical="center"/>
    </xf>
    <xf numFmtId="0" fontId="6" fillId="5" borderId="1" xfId="1" applyFont="1" applyFill="1" applyBorder="1" applyAlignment="1">
      <alignment horizontal="center" vertical="center"/>
    </xf>
    <xf numFmtId="3" fontId="6" fillId="5" borderId="1" xfId="1" applyNumberFormat="1" applyFont="1" applyFill="1" applyBorder="1" applyAlignment="1">
      <alignment horizontal="center" vertical="center"/>
    </xf>
    <xf numFmtId="49" fontId="6" fillId="5" borderId="1" xfId="1" applyNumberFormat="1" applyFont="1" applyFill="1" applyBorder="1" applyAlignment="1">
      <alignment horizontal="center" vertical="center"/>
    </xf>
    <xf numFmtId="14" fontId="6" fillId="5" borderId="1" xfId="1" applyNumberFormat="1" applyFont="1" applyFill="1" applyBorder="1" applyAlignment="1">
      <alignment horizontal="center" vertical="center"/>
    </xf>
    <xf numFmtId="0" fontId="6" fillId="5" borderId="1" xfId="1" applyFont="1" applyFill="1" applyBorder="1" applyAlignment="1">
      <alignment vertical="center"/>
    </xf>
    <xf numFmtId="0" fontId="10" fillId="5" borderId="1" xfId="1" applyFont="1" applyFill="1" applyBorder="1" applyAlignment="1">
      <alignment vertical="center"/>
    </xf>
    <xf numFmtId="0" fontId="10" fillId="5" borderId="1" xfId="1" applyFont="1" applyFill="1" applyBorder="1" applyAlignment="1">
      <alignment horizontal="center" vertical="center"/>
    </xf>
    <xf numFmtId="0" fontId="14" fillId="3" borderId="1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vertical="center"/>
    </xf>
    <xf numFmtId="0" fontId="14" fillId="3" borderId="1" xfId="0" applyFont="1" applyFill="1" applyBorder="1" applyAlignment="1">
      <alignment horizontal="center" vertical="center"/>
    </xf>
    <xf numFmtId="3" fontId="14" fillId="3" borderId="1" xfId="1" applyNumberFormat="1" applyFont="1" applyFill="1" applyBorder="1" applyAlignment="1">
      <alignment horizontal="center" vertical="center"/>
    </xf>
    <xf numFmtId="49" fontId="14" fillId="3" borderId="1" xfId="1" applyNumberFormat="1" applyFont="1" applyFill="1" applyBorder="1" applyAlignment="1">
      <alignment horizontal="center" vertical="center"/>
    </xf>
    <xf numFmtId="14" fontId="14" fillId="3" borderId="1" xfId="1" applyNumberFormat="1" applyFont="1" applyFill="1" applyBorder="1" applyAlignment="1">
      <alignment horizontal="center" vertical="center"/>
    </xf>
    <xf numFmtId="0" fontId="14" fillId="3" borderId="1" xfId="1" applyFont="1" applyFill="1" applyBorder="1" applyAlignment="1">
      <alignment horizontal="center" vertical="center"/>
    </xf>
    <xf numFmtId="0" fontId="13" fillId="0" borderId="0" xfId="0" applyFont="1" applyAlignment="1">
      <alignment horizontal="left" vertical="center" wrapText="1"/>
    </xf>
    <xf numFmtId="0" fontId="14" fillId="0" borderId="0" xfId="0" applyFont="1" applyAlignment="1">
      <alignment horizontal="left" vertical="center"/>
    </xf>
    <xf numFmtId="0" fontId="3" fillId="3" borderId="0" xfId="0" applyFont="1" applyFill="1" applyAlignment="1">
      <alignment vertical="center"/>
    </xf>
    <xf numFmtId="0" fontId="9" fillId="3" borderId="0" xfId="0" applyFont="1" applyFill="1" applyAlignment="1">
      <alignment vertical="center"/>
    </xf>
    <xf numFmtId="0" fontId="7" fillId="6" borderId="2" xfId="1" applyFont="1" applyFill="1" applyBorder="1" applyAlignment="1">
      <alignment horizontal="center" vertical="center" wrapText="1"/>
    </xf>
    <xf numFmtId="3" fontId="7" fillId="6" borderId="2" xfId="1" applyNumberFormat="1" applyFont="1" applyFill="1" applyBorder="1" applyAlignment="1">
      <alignment horizontal="center" vertical="center" wrapText="1"/>
    </xf>
    <xf numFmtId="49" fontId="7" fillId="6" borderId="2" xfId="1" applyNumberFormat="1" applyFont="1" applyFill="1" applyBorder="1" applyAlignment="1">
      <alignment horizontal="center" vertical="center" wrapText="1"/>
    </xf>
    <xf numFmtId="14" fontId="7" fillId="6" borderId="2" xfId="1" applyNumberFormat="1" applyFont="1" applyFill="1" applyBorder="1" applyAlignment="1">
      <alignment horizontal="center" vertical="center" wrapText="1"/>
    </xf>
    <xf numFmtId="0" fontId="7" fillId="6" borderId="2" xfId="1" applyFont="1" applyFill="1" applyBorder="1" applyAlignment="1">
      <alignment horizontal="center" vertical="center"/>
    </xf>
    <xf numFmtId="0" fontId="6" fillId="0" borderId="0" xfId="1" applyFont="1" applyAlignment="1">
      <alignment horizontal="center" vertical="center" wrapText="1"/>
    </xf>
    <xf numFmtId="0" fontId="6" fillId="0" borderId="0" xfId="1" applyFont="1" applyAlignment="1">
      <alignment horizontal="center" vertical="center"/>
    </xf>
    <xf numFmtId="3" fontId="6" fillId="0" borderId="0" xfId="1" applyNumberFormat="1" applyFont="1" applyAlignment="1">
      <alignment horizontal="center" vertical="center"/>
    </xf>
    <xf numFmtId="49" fontId="6" fillId="0" borderId="0" xfId="1" applyNumberFormat="1" applyFont="1" applyAlignment="1">
      <alignment horizontal="center" vertical="center"/>
    </xf>
    <xf numFmtId="14" fontId="6" fillId="0" borderId="0" xfId="1" applyNumberFormat="1" applyFont="1" applyAlignment="1">
      <alignment horizontal="center" vertical="center"/>
    </xf>
    <xf numFmtId="0" fontId="26" fillId="0" borderId="0" xfId="1" applyFont="1" applyAlignment="1">
      <alignment vertical="center"/>
    </xf>
    <xf numFmtId="0" fontId="26" fillId="0" borderId="0" xfId="1" applyFont="1" applyAlignment="1">
      <alignment horizontal="center" vertical="center"/>
    </xf>
    <xf numFmtId="0" fontId="12" fillId="0" borderId="0" xfId="0" applyFont="1" applyAlignment="1">
      <alignment horizontal="center" vertical="center" wrapText="1"/>
    </xf>
    <xf numFmtId="0" fontId="12" fillId="0" borderId="0" xfId="0" applyFont="1" applyAlignment="1">
      <alignment vertical="center"/>
    </xf>
    <xf numFmtId="0" fontId="12" fillId="0" borderId="0" xfId="0" applyFont="1" applyAlignment="1">
      <alignment horizontal="center" vertical="center"/>
    </xf>
    <xf numFmtId="3" fontId="12" fillId="0" borderId="0" xfId="0" applyNumberFormat="1" applyFont="1" applyAlignment="1">
      <alignment vertical="center"/>
    </xf>
    <xf numFmtId="49" fontId="12" fillId="0" borderId="0" xfId="0" applyNumberFormat="1" applyFont="1" applyAlignment="1">
      <alignment vertical="center"/>
    </xf>
    <xf numFmtId="14" fontId="12" fillId="0" borderId="0" xfId="0" applyNumberFormat="1" applyFont="1" applyAlignment="1">
      <alignment vertical="center"/>
    </xf>
    <xf numFmtId="0" fontId="27" fillId="0" borderId="0" xfId="0" applyFont="1" applyAlignment="1">
      <alignment vertical="center" wrapText="1"/>
    </xf>
    <xf numFmtId="0" fontId="6" fillId="5" borderId="1" xfId="0" applyFont="1" applyFill="1" applyBorder="1" applyAlignment="1">
      <alignment vertical="center"/>
    </xf>
    <xf numFmtId="0" fontId="6" fillId="5" borderId="1" xfId="0" applyFont="1" applyFill="1" applyBorder="1" applyAlignment="1">
      <alignment horizontal="center" vertical="center" wrapText="1"/>
    </xf>
    <xf numFmtId="3" fontId="3" fillId="0" borderId="0" xfId="0" applyNumberFormat="1" applyFont="1" applyAlignment="1">
      <alignment horizontal="center" vertical="center"/>
    </xf>
    <xf numFmtId="0" fontId="7" fillId="4" borderId="7" xfId="1" applyFont="1" applyFill="1" applyBorder="1" applyAlignment="1">
      <alignment horizontal="center" vertical="center" wrapText="1"/>
    </xf>
    <xf numFmtId="0" fontId="6" fillId="2" borderId="8" xfId="1" applyFont="1" applyFill="1" applyBorder="1" applyAlignment="1">
      <alignment horizontal="center" vertical="center" wrapText="1"/>
    </xf>
    <xf numFmtId="0" fontId="6" fillId="0" borderId="8" xfId="1" applyFont="1" applyBorder="1" applyAlignment="1">
      <alignment horizontal="center" vertical="center" wrapText="1"/>
    </xf>
    <xf numFmtId="0" fontId="6" fillId="3" borderId="8" xfId="1" applyFont="1" applyFill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0" fontId="6" fillId="3" borderId="8" xfId="0" applyFont="1" applyFill="1" applyBorder="1" applyAlignment="1">
      <alignment horizontal="center" vertical="center" wrapText="1"/>
    </xf>
    <xf numFmtId="0" fontId="6" fillId="2" borderId="8" xfId="0" applyFont="1" applyFill="1" applyBorder="1" applyAlignment="1">
      <alignment horizontal="center" vertical="center" wrapText="1"/>
    </xf>
    <xf numFmtId="0" fontId="6" fillId="3" borderId="8" xfId="0" applyFont="1" applyFill="1" applyBorder="1" applyAlignment="1">
      <alignment horizontal="left" vertical="center" wrapText="1"/>
    </xf>
    <xf numFmtId="0" fontId="15" fillId="3" borderId="8" xfId="0" applyFont="1" applyFill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3" fontId="6" fillId="2" borderId="1" xfId="0" applyNumberFormat="1" applyFont="1" applyFill="1" applyBorder="1" applyAlignment="1">
      <alignment horizontal="center" vertical="center"/>
    </xf>
    <xf numFmtId="3" fontId="6" fillId="0" borderId="1" xfId="0" applyNumberFormat="1" applyFont="1" applyBorder="1" applyAlignment="1">
      <alignment horizontal="center" vertical="center" wrapText="1"/>
    </xf>
    <xf numFmtId="3" fontId="6" fillId="0" borderId="1" xfId="0" applyNumberFormat="1" applyFont="1" applyBorder="1" applyAlignment="1">
      <alignment horizontal="center" vertical="center"/>
    </xf>
    <xf numFmtId="3" fontId="6" fillId="0" borderId="4" xfId="0" applyNumberFormat="1" applyFont="1" applyBorder="1" applyAlignment="1">
      <alignment horizontal="center" vertical="center"/>
    </xf>
    <xf numFmtId="3" fontId="9" fillId="4" borderId="10" xfId="0" applyNumberFormat="1" applyFont="1" applyFill="1" applyBorder="1" applyAlignment="1">
      <alignment horizontal="center" vertical="center"/>
    </xf>
    <xf numFmtId="0" fontId="9" fillId="4" borderId="10" xfId="0" applyFont="1" applyFill="1" applyBorder="1" applyAlignment="1">
      <alignment horizontal="center" vertical="center" wrapText="1"/>
    </xf>
    <xf numFmtId="0" fontId="9" fillId="4" borderId="10" xfId="0" applyFont="1" applyFill="1" applyBorder="1" applyAlignment="1">
      <alignment horizontal="center" vertical="center"/>
    </xf>
    <xf numFmtId="0" fontId="7" fillId="4" borderId="11" xfId="1" applyFont="1" applyFill="1" applyBorder="1" applyAlignment="1">
      <alignment horizontal="center" vertical="center"/>
    </xf>
    <xf numFmtId="3" fontId="6" fillId="3" borderId="1" xfId="0" applyNumberFormat="1" applyFont="1" applyFill="1" applyBorder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1" fillId="0" borderId="0" xfId="0" applyFont="1" applyAlignment="1">
      <alignment vertical="center" wrapText="1"/>
    </xf>
    <xf numFmtId="0" fontId="6" fillId="0" borderId="1" xfId="1" applyFont="1" applyBorder="1" applyAlignment="1">
      <alignment horizontal="center" vertical="center" wrapText="1"/>
    </xf>
    <xf numFmtId="0" fontId="6" fillId="3" borderId="1" xfId="0" applyFont="1" applyFill="1" applyBorder="1" applyAlignment="1">
      <alignment vertical="center" wrapText="1"/>
    </xf>
    <xf numFmtId="0" fontId="6" fillId="2" borderId="1" xfId="0" applyFont="1" applyFill="1" applyBorder="1" applyAlignment="1">
      <alignment vertical="center" wrapText="1"/>
    </xf>
    <xf numFmtId="0" fontId="15" fillId="3" borderId="1" xfId="0" applyFont="1" applyFill="1" applyBorder="1" applyAlignment="1">
      <alignment vertical="center" wrapText="1"/>
    </xf>
    <xf numFmtId="0" fontId="6" fillId="0" borderId="1" xfId="0" applyFont="1" applyBorder="1" applyAlignment="1">
      <alignment horizontal="left" vertical="center" wrapText="1"/>
    </xf>
    <xf numFmtId="0" fontId="6" fillId="0" borderId="4" xfId="0" applyFont="1" applyBorder="1" applyAlignment="1">
      <alignment vertical="center" wrapText="1"/>
    </xf>
    <xf numFmtId="0" fontId="16" fillId="3" borderId="1" xfId="0" applyFon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 wrapText="1"/>
    </xf>
    <xf numFmtId="0" fontId="13" fillId="3" borderId="1" xfId="0" applyFont="1" applyFill="1" applyBorder="1" applyAlignment="1">
      <alignment horizontal="center" vertical="center" wrapText="1"/>
    </xf>
    <xf numFmtId="0" fontId="6" fillId="3" borderId="1" xfId="1" applyFont="1" applyFill="1" applyBorder="1" applyAlignment="1">
      <alignment horizontal="center" vertical="center" wrapText="1"/>
    </xf>
    <xf numFmtId="0" fontId="15" fillId="3" borderId="1" xfId="1" applyFont="1" applyFill="1" applyBorder="1" applyAlignment="1">
      <alignment horizontal="center" vertical="center" wrapText="1"/>
    </xf>
    <xf numFmtId="0" fontId="6" fillId="0" borderId="1" xfId="1" applyFont="1" applyBorder="1" applyAlignment="1">
      <alignment horizontal="center" vertical="top" wrapText="1"/>
    </xf>
    <xf numFmtId="0" fontId="24" fillId="0" borderId="0" xfId="0" applyFont="1" applyAlignment="1">
      <alignment horizontal="center" vertical="center"/>
    </xf>
    <xf numFmtId="0" fontId="19" fillId="0" borderId="0" xfId="1" applyFont="1" applyAlignment="1">
      <alignment horizontal="center" vertical="center"/>
    </xf>
    <xf numFmtId="0" fontId="27" fillId="0" borderId="0" xfId="0" applyFont="1" applyAlignment="1">
      <alignment horizontal="center" vertical="center" wrapText="1"/>
    </xf>
    <xf numFmtId="0" fontId="9" fillId="5" borderId="6" xfId="0" applyFont="1" applyFill="1" applyBorder="1" applyAlignment="1">
      <alignment horizontal="center" vertical="center"/>
    </xf>
    <xf numFmtId="0" fontId="7" fillId="4" borderId="12" xfId="1" applyFont="1" applyFill="1" applyBorder="1" applyAlignment="1">
      <alignment horizontal="center" vertical="center"/>
    </xf>
    <xf numFmtId="0" fontId="7" fillId="4" borderId="10" xfId="1" applyFont="1" applyFill="1" applyBorder="1" applyAlignment="1">
      <alignment horizontal="center" vertical="center"/>
    </xf>
    <xf numFmtId="0" fontId="22" fillId="0" borderId="3" xfId="1" applyFont="1" applyBorder="1" applyAlignment="1">
      <alignment horizontal="center" vertical="center"/>
    </xf>
    <xf numFmtId="0" fontId="23" fillId="0" borderId="0" xfId="0" applyFont="1" applyAlignment="1">
      <alignment horizontal="center" vertical="center" wrapText="1"/>
    </xf>
    <xf numFmtId="0" fontId="20" fillId="0" borderId="0" xfId="1" applyFont="1" applyAlignment="1">
      <alignment horizontal="center" vertical="center"/>
    </xf>
    <xf numFmtId="0" fontId="21" fillId="0" borderId="0" xfId="1" applyFont="1" applyAlignment="1">
      <alignment horizontal="center" vertical="center"/>
    </xf>
    <xf numFmtId="0" fontId="27" fillId="7" borderId="5" xfId="1" applyFont="1" applyFill="1" applyBorder="1" applyAlignment="1">
      <alignment horizontal="center" vertical="center"/>
    </xf>
  </cellXfs>
  <cellStyles count="2">
    <cellStyle name="Normal" xfId="0" builtinId="0"/>
    <cellStyle name="Normal 2" xfId="1" xr:uid="{1555ECC5-4E39-4D3E-81C2-52DBAF9DD0BA}"/>
  </cellStyles>
  <dxfs count="12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44150</xdr:colOff>
      <xdr:row>0</xdr:row>
      <xdr:rowOff>69376</xdr:rowOff>
    </xdr:from>
    <xdr:ext cx="1031616" cy="451938"/>
    <xdr:pic>
      <xdr:nvPicPr>
        <xdr:cNvPr id="2" name="Picture 1">
          <a:extLst>
            <a:ext uri="{FF2B5EF4-FFF2-40B4-BE49-F238E27FC236}">
              <a16:creationId xmlns:a16="http://schemas.microsoft.com/office/drawing/2014/main" id="{85E42C42-8C2F-4B30-AD5F-83E718C1DF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4150" y="69376"/>
          <a:ext cx="1031616" cy="451938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74084</xdr:colOff>
      <xdr:row>0</xdr:row>
      <xdr:rowOff>32546</xdr:rowOff>
    </xdr:from>
    <xdr:to>
      <xdr:col>1</xdr:col>
      <xdr:colOff>1094892</xdr:colOff>
      <xdr:row>2</xdr:row>
      <xdr:rowOff>21168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08BFEBE-FBCC-FA81-DF82-0BB1642B38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4084" y="32546"/>
          <a:ext cx="1306558" cy="53895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74084</xdr:colOff>
      <xdr:row>0</xdr:row>
      <xdr:rowOff>32546</xdr:rowOff>
    </xdr:from>
    <xdr:to>
      <xdr:col>1</xdr:col>
      <xdr:colOff>1094892</xdr:colOff>
      <xdr:row>2</xdr:row>
      <xdr:rowOff>21168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D7D697C-5A0F-48BE-874C-E744FA41F1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4084" y="32546"/>
          <a:ext cx="1306558" cy="541072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74084</xdr:colOff>
      <xdr:row>0</xdr:row>
      <xdr:rowOff>32546</xdr:rowOff>
    </xdr:from>
    <xdr:to>
      <xdr:col>1</xdr:col>
      <xdr:colOff>1094892</xdr:colOff>
      <xdr:row>2</xdr:row>
      <xdr:rowOff>21168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B4F6AC-FB93-4C1A-BFA5-2718F20BC9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4084" y="32546"/>
          <a:ext cx="1306558" cy="54107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770DDB-10C7-4E3F-BBBC-DB4CE5861424}">
  <sheetPr>
    <tabColor rgb="FF00B0F0"/>
    <pageSetUpPr fitToPage="1"/>
  </sheetPr>
  <dimension ref="A1:T42"/>
  <sheetViews>
    <sheetView zoomScale="90" zoomScaleNormal="90" zoomScaleSheetLayoutView="98"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G6" sqref="G6"/>
    </sheetView>
  </sheetViews>
  <sheetFormatPr defaultRowHeight="15" x14ac:dyDescent="0.25"/>
  <cols>
    <col min="1" max="1" width="4.28515625" style="85" customWidth="1"/>
    <col min="2" max="2" width="52.7109375" style="83" customWidth="1"/>
    <col min="3" max="3" width="9.28515625" style="85" customWidth="1"/>
    <col min="4" max="4" width="17.7109375" style="85" customWidth="1"/>
    <col min="5" max="5" width="65.140625" style="83" customWidth="1"/>
    <col min="6" max="6" width="10.140625" style="83" customWidth="1"/>
    <col min="7" max="7" width="10.140625" style="87" customWidth="1"/>
    <col min="8" max="8" width="11.7109375" style="87" customWidth="1"/>
    <col min="9" max="9" width="13.85546875" style="62" customWidth="1"/>
    <col min="10" max="10" width="16.7109375" style="62" customWidth="1"/>
    <col min="11" max="11" width="16.5703125" style="86" customWidth="1"/>
    <col min="12" max="12" width="15.140625" style="62" customWidth="1"/>
    <col min="13" max="13" width="19.7109375" style="83" customWidth="1"/>
    <col min="14" max="14" width="19.5703125" style="85" customWidth="1"/>
    <col min="15" max="15" width="13.7109375" style="85" customWidth="1"/>
    <col min="16" max="16" width="34.42578125" style="83" customWidth="1"/>
    <col min="17" max="17" width="26.7109375" style="83" customWidth="1"/>
    <col min="18" max="18" width="15.28515625" style="84" customWidth="1"/>
    <col min="19" max="19" width="9.140625" style="83"/>
    <col min="20" max="20" width="18.28515625" style="83" customWidth="1"/>
    <col min="21" max="256" width="9.140625" style="83"/>
    <col min="257" max="257" width="4.28515625" style="83" customWidth="1"/>
    <col min="258" max="258" width="52.7109375" style="83" customWidth="1"/>
    <col min="259" max="259" width="9.28515625" style="83" customWidth="1"/>
    <col min="260" max="260" width="17.7109375" style="83" customWidth="1"/>
    <col min="261" max="261" width="65.140625" style="83" customWidth="1"/>
    <col min="262" max="263" width="10.140625" style="83" customWidth="1"/>
    <col min="264" max="264" width="11.7109375" style="83" customWidth="1"/>
    <col min="265" max="265" width="13.85546875" style="83" customWidth="1"/>
    <col min="266" max="266" width="16.7109375" style="83" customWidth="1"/>
    <col min="267" max="267" width="16.5703125" style="83" customWidth="1"/>
    <col min="268" max="268" width="15.140625" style="83" customWidth="1"/>
    <col min="269" max="269" width="19.7109375" style="83" customWidth="1"/>
    <col min="270" max="270" width="19.5703125" style="83" customWidth="1"/>
    <col min="271" max="271" width="13.7109375" style="83" customWidth="1"/>
    <col min="272" max="272" width="34.42578125" style="83" customWidth="1"/>
    <col min="273" max="273" width="26.7109375" style="83" customWidth="1"/>
    <col min="274" max="274" width="15.28515625" style="83" customWidth="1"/>
    <col min="275" max="275" width="9.140625" style="83"/>
    <col min="276" max="276" width="18.28515625" style="83" customWidth="1"/>
    <col min="277" max="512" width="9.140625" style="83"/>
    <col min="513" max="513" width="4.28515625" style="83" customWidth="1"/>
    <col min="514" max="514" width="52.7109375" style="83" customWidth="1"/>
    <col min="515" max="515" width="9.28515625" style="83" customWidth="1"/>
    <col min="516" max="516" width="17.7109375" style="83" customWidth="1"/>
    <col min="517" max="517" width="65.140625" style="83" customWidth="1"/>
    <col min="518" max="519" width="10.140625" style="83" customWidth="1"/>
    <col min="520" max="520" width="11.7109375" style="83" customWidth="1"/>
    <col min="521" max="521" width="13.85546875" style="83" customWidth="1"/>
    <col min="522" max="522" width="16.7109375" style="83" customWidth="1"/>
    <col min="523" max="523" width="16.5703125" style="83" customWidth="1"/>
    <col min="524" max="524" width="15.140625" style="83" customWidth="1"/>
    <col min="525" max="525" width="19.7109375" style="83" customWidth="1"/>
    <col min="526" max="526" width="19.5703125" style="83" customWidth="1"/>
    <col min="527" max="527" width="13.7109375" style="83" customWidth="1"/>
    <col min="528" max="528" width="34.42578125" style="83" customWidth="1"/>
    <col min="529" max="529" width="26.7109375" style="83" customWidth="1"/>
    <col min="530" max="530" width="15.28515625" style="83" customWidth="1"/>
    <col min="531" max="531" width="9.140625" style="83"/>
    <col min="532" max="532" width="18.28515625" style="83" customWidth="1"/>
    <col min="533" max="768" width="9.140625" style="83"/>
    <col min="769" max="769" width="4.28515625" style="83" customWidth="1"/>
    <col min="770" max="770" width="52.7109375" style="83" customWidth="1"/>
    <col min="771" max="771" width="9.28515625" style="83" customWidth="1"/>
    <col min="772" max="772" width="17.7109375" style="83" customWidth="1"/>
    <col min="773" max="773" width="65.140625" style="83" customWidth="1"/>
    <col min="774" max="775" width="10.140625" style="83" customWidth="1"/>
    <col min="776" max="776" width="11.7109375" style="83" customWidth="1"/>
    <col min="777" max="777" width="13.85546875" style="83" customWidth="1"/>
    <col min="778" max="778" width="16.7109375" style="83" customWidth="1"/>
    <col min="779" max="779" width="16.5703125" style="83" customWidth="1"/>
    <col min="780" max="780" width="15.140625" style="83" customWidth="1"/>
    <col min="781" max="781" width="19.7109375" style="83" customWidth="1"/>
    <col min="782" max="782" width="19.5703125" style="83" customWidth="1"/>
    <col min="783" max="783" width="13.7109375" style="83" customWidth="1"/>
    <col min="784" max="784" width="34.42578125" style="83" customWidth="1"/>
    <col min="785" max="785" width="26.7109375" style="83" customWidth="1"/>
    <col min="786" max="786" width="15.28515625" style="83" customWidth="1"/>
    <col min="787" max="787" width="9.140625" style="83"/>
    <col min="788" max="788" width="18.28515625" style="83" customWidth="1"/>
    <col min="789" max="1024" width="9.140625" style="83"/>
    <col min="1025" max="1025" width="4.28515625" style="83" customWidth="1"/>
    <col min="1026" max="1026" width="52.7109375" style="83" customWidth="1"/>
    <col min="1027" max="1027" width="9.28515625" style="83" customWidth="1"/>
    <col min="1028" max="1028" width="17.7109375" style="83" customWidth="1"/>
    <col min="1029" max="1029" width="65.140625" style="83" customWidth="1"/>
    <col min="1030" max="1031" width="10.140625" style="83" customWidth="1"/>
    <col min="1032" max="1032" width="11.7109375" style="83" customWidth="1"/>
    <col min="1033" max="1033" width="13.85546875" style="83" customWidth="1"/>
    <col min="1034" max="1034" width="16.7109375" style="83" customWidth="1"/>
    <col min="1035" max="1035" width="16.5703125" style="83" customWidth="1"/>
    <col min="1036" max="1036" width="15.140625" style="83" customWidth="1"/>
    <col min="1037" max="1037" width="19.7109375" style="83" customWidth="1"/>
    <col min="1038" max="1038" width="19.5703125" style="83" customWidth="1"/>
    <col min="1039" max="1039" width="13.7109375" style="83" customWidth="1"/>
    <col min="1040" max="1040" width="34.42578125" style="83" customWidth="1"/>
    <col min="1041" max="1041" width="26.7109375" style="83" customWidth="1"/>
    <col min="1042" max="1042" width="15.28515625" style="83" customWidth="1"/>
    <col min="1043" max="1043" width="9.140625" style="83"/>
    <col min="1044" max="1044" width="18.28515625" style="83" customWidth="1"/>
    <col min="1045" max="1280" width="9.140625" style="83"/>
    <col min="1281" max="1281" width="4.28515625" style="83" customWidth="1"/>
    <col min="1282" max="1282" width="52.7109375" style="83" customWidth="1"/>
    <col min="1283" max="1283" width="9.28515625" style="83" customWidth="1"/>
    <col min="1284" max="1284" width="17.7109375" style="83" customWidth="1"/>
    <col min="1285" max="1285" width="65.140625" style="83" customWidth="1"/>
    <col min="1286" max="1287" width="10.140625" style="83" customWidth="1"/>
    <col min="1288" max="1288" width="11.7109375" style="83" customWidth="1"/>
    <col min="1289" max="1289" width="13.85546875" style="83" customWidth="1"/>
    <col min="1290" max="1290" width="16.7109375" style="83" customWidth="1"/>
    <col min="1291" max="1291" width="16.5703125" style="83" customWidth="1"/>
    <col min="1292" max="1292" width="15.140625" style="83" customWidth="1"/>
    <col min="1293" max="1293" width="19.7109375" style="83" customWidth="1"/>
    <col min="1294" max="1294" width="19.5703125" style="83" customWidth="1"/>
    <col min="1295" max="1295" width="13.7109375" style="83" customWidth="1"/>
    <col min="1296" max="1296" width="34.42578125" style="83" customWidth="1"/>
    <col min="1297" max="1297" width="26.7109375" style="83" customWidth="1"/>
    <col min="1298" max="1298" width="15.28515625" style="83" customWidth="1"/>
    <col min="1299" max="1299" width="9.140625" style="83"/>
    <col min="1300" max="1300" width="18.28515625" style="83" customWidth="1"/>
    <col min="1301" max="1536" width="9.140625" style="83"/>
    <col min="1537" max="1537" width="4.28515625" style="83" customWidth="1"/>
    <col min="1538" max="1538" width="52.7109375" style="83" customWidth="1"/>
    <col min="1539" max="1539" width="9.28515625" style="83" customWidth="1"/>
    <col min="1540" max="1540" width="17.7109375" style="83" customWidth="1"/>
    <col min="1541" max="1541" width="65.140625" style="83" customWidth="1"/>
    <col min="1542" max="1543" width="10.140625" style="83" customWidth="1"/>
    <col min="1544" max="1544" width="11.7109375" style="83" customWidth="1"/>
    <col min="1545" max="1545" width="13.85546875" style="83" customWidth="1"/>
    <col min="1546" max="1546" width="16.7109375" style="83" customWidth="1"/>
    <col min="1547" max="1547" width="16.5703125" style="83" customWidth="1"/>
    <col min="1548" max="1548" width="15.140625" style="83" customWidth="1"/>
    <col min="1549" max="1549" width="19.7109375" style="83" customWidth="1"/>
    <col min="1550" max="1550" width="19.5703125" style="83" customWidth="1"/>
    <col min="1551" max="1551" width="13.7109375" style="83" customWidth="1"/>
    <col min="1552" max="1552" width="34.42578125" style="83" customWidth="1"/>
    <col min="1553" max="1553" width="26.7109375" style="83" customWidth="1"/>
    <col min="1554" max="1554" width="15.28515625" style="83" customWidth="1"/>
    <col min="1555" max="1555" width="9.140625" style="83"/>
    <col min="1556" max="1556" width="18.28515625" style="83" customWidth="1"/>
    <col min="1557" max="1792" width="9.140625" style="83"/>
    <col min="1793" max="1793" width="4.28515625" style="83" customWidth="1"/>
    <col min="1794" max="1794" width="52.7109375" style="83" customWidth="1"/>
    <col min="1795" max="1795" width="9.28515625" style="83" customWidth="1"/>
    <col min="1796" max="1796" width="17.7109375" style="83" customWidth="1"/>
    <col min="1797" max="1797" width="65.140625" style="83" customWidth="1"/>
    <col min="1798" max="1799" width="10.140625" style="83" customWidth="1"/>
    <col min="1800" max="1800" width="11.7109375" style="83" customWidth="1"/>
    <col min="1801" max="1801" width="13.85546875" style="83" customWidth="1"/>
    <col min="1802" max="1802" width="16.7109375" style="83" customWidth="1"/>
    <col min="1803" max="1803" width="16.5703125" style="83" customWidth="1"/>
    <col min="1804" max="1804" width="15.140625" style="83" customWidth="1"/>
    <col min="1805" max="1805" width="19.7109375" style="83" customWidth="1"/>
    <col min="1806" max="1806" width="19.5703125" style="83" customWidth="1"/>
    <col min="1807" max="1807" width="13.7109375" style="83" customWidth="1"/>
    <col min="1808" max="1808" width="34.42578125" style="83" customWidth="1"/>
    <col min="1809" max="1809" width="26.7109375" style="83" customWidth="1"/>
    <col min="1810" max="1810" width="15.28515625" style="83" customWidth="1"/>
    <col min="1811" max="1811" width="9.140625" style="83"/>
    <col min="1812" max="1812" width="18.28515625" style="83" customWidth="1"/>
    <col min="1813" max="2048" width="9.140625" style="83"/>
    <col min="2049" max="2049" width="4.28515625" style="83" customWidth="1"/>
    <col min="2050" max="2050" width="52.7109375" style="83" customWidth="1"/>
    <col min="2051" max="2051" width="9.28515625" style="83" customWidth="1"/>
    <col min="2052" max="2052" width="17.7109375" style="83" customWidth="1"/>
    <col min="2053" max="2053" width="65.140625" style="83" customWidth="1"/>
    <col min="2054" max="2055" width="10.140625" style="83" customWidth="1"/>
    <col min="2056" max="2056" width="11.7109375" style="83" customWidth="1"/>
    <col min="2057" max="2057" width="13.85546875" style="83" customWidth="1"/>
    <col min="2058" max="2058" width="16.7109375" style="83" customWidth="1"/>
    <col min="2059" max="2059" width="16.5703125" style="83" customWidth="1"/>
    <col min="2060" max="2060" width="15.140625" style="83" customWidth="1"/>
    <col min="2061" max="2061" width="19.7109375" style="83" customWidth="1"/>
    <col min="2062" max="2062" width="19.5703125" style="83" customWidth="1"/>
    <col min="2063" max="2063" width="13.7109375" style="83" customWidth="1"/>
    <col min="2064" max="2064" width="34.42578125" style="83" customWidth="1"/>
    <col min="2065" max="2065" width="26.7109375" style="83" customWidth="1"/>
    <col min="2066" max="2066" width="15.28515625" style="83" customWidth="1"/>
    <col min="2067" max="2067" width="9.140625" style="83"/>
    <col min="2068" max="2068" width="18.28515625" style="83" customWidth="1"/>
    <col min="2069" max="2304" width="9.140625" style="83"/>
    <col min="2305" max="2305" width="4.28515625" style="83" customWidth="1"/>
    <col min="2306" max="2306" width="52.7109375" style="83" customWidth="1"/>
    <col min="2307" max="2307" width="9.28515625" style="83" customWidth="1"/>
    <col min="2308" max="2308" width="17.7109375" style="83" customWidth="1"/>
    <col min="2309" max="2309" width="65.140625" style="83" customWidth="1"/>
    <col min="2310" max="2311" width="10.140625" style="83" customWidth="1"/>
    <col min="2312" max="2312" width="11.7109375" style="83" customWidth="1"/>
    <col min="2313" max="2313" width="13.85546875" style="83" customWidth="1"/>
    <col min="2314" max="2314" width="16.7109375" style="83" customWidth="1"/>
    <col min="2315" max="2315" width="16.5703125" style="83" customWidth="1"/>
    <col min="2316" max="2316" width="15.140625" style="83" customWidth="1"/>
    <col min="2317" max="2317" width="19.7109375" style="83" customWidth="1"/>
    <col min="2318" max="2318" width="19.5703125" style="83" customWidth="1"/>
    <col min="2319" max="2319" width="13.7109375" style="83" customWidth="1"/>
    <col min="2320" max="2320" width="34.42578125" style="83" customWidth="1"/>
    <col min="2321" max="2321" width="26.7109375" style="83" customWidth="1"/>
    <col min="2322" max="2322" width="15.28515625" style="83" customWidth="1"/>
    <col min="2323" max="2323" width="9.140625" style="83"/>
    <col min="2324" max="2324" width="18.28515625" style="83" customWidth="1"/>
    <col min="2325" max="2560" width="9.140625" style="83"/>
    <col min="2561" max="2561" width="4.28515625" style="83" customWidth="1"/>
    <col min="2562" max="2562" width="52.7109375" style="83" customWidth="1"/>
    <col min="2563" max="2563" width="9.28515625" style="83" customWidth="1"/>
    <col min="2564" max="2564" width="17.7109375" style="83" customWidth="1"/>
    <col min="2565" max="2565" width="65.140625" style="83" customWidth="1"/>
    <col min="2566" max="2567" width="10.140625" style="83" customWidth="1"/>
    <col min="2568" max="2568" width="11.7109375" style="83" customWidth="1"/>
    <col min="2569" max="2569" width="13.85546875" style="83" customWidth="1"/>
    <col min="2570" max="2570" width="16.7109375" style="83" customWidth="1"/>
    <col min="2571" max="2571" width="16.5703125" style="83" customWidth="1"/>
    <col min="2572" max="2572" width="15.140625" style="83" customWidth="1"/>
    <col min="2573" max="2573" width="19.7109375" style="83" customWidth="1"/>
    <col min="2574" max="2574" width="19.5703125" style="83" customWidth="1"/>
    <col min="2575" max="2575" width="13.7109375" style="83" customWidth="1"/>
    <col min="2576" max="2576" width="34.42578125" style="83" customWidth="1"/>
    <col min="2577" max="2577" width="26.7109375" style="83" customWidth="1"/>
    <col min="2578" max="2578" width="15.28515625" style="83" customWidth="1"/>
    <col min="2579" max="2579" width="9.140625" style="83"/>
    <col min="2580" max="2580" width="18.28515625" style="83" customWidth="1"/>
    <col min="2581" max="2816" width="9.140625" style="83"/>
    <col min="2817" max="2817" width="4.28515625" style="83" customWidth="1"/>
    <col min="2818" max="2818" width="52.7109375" style="83" customWidth="1"/>
    <col min="2819" max="2819" width="9.28515625" style="83" customWidth="1"/>
    <col min="2820" max="2820" width="17.7109375" style="83" customWidth="1"/>
    <col min="2821" max="2821" width="65.140625" style="83" customWidth="1"/>
    <col min="2822" max="2823" width="10.140625" style="83" customWidth="1"/>
    <col min="2824" max="2824" width="11.7109375" style="83" customWidth="1"/>
    <col min="2825" max="2825" width="13.85546875" style="83" customWidth="1"/>
    <col min="2826" max="2826" width="16.7109375" style="83" customWidth="1"/>
    <col min="2827" max="2827" width="16.5703125" style="83" customWidth="1"/>
    <col min="2828" max="2828" width="15.140625" style="83" customWidth="1"/>
    <col min="2829" max="2829" width="19.7109375" style="83" customWidth="1"/>
    <col min="2830" max="2830" width="19.5703125" style="83" customWidth="1"/>
    <col min="2831" max="2831" width="13.7109375" style="83" customWidth="1"/>
    <col min="2832" max="2832" width="34.42578125" style="83" customWidth="1"/>
    <col min="2833" max="2833" width="26.7109375" style="83" customWidth="1"/>
    <col min="2834" max="2834" width="15.28515625" style="83" customWidth="1"/>
    <col min="2835" max="2835" width="9.140625" style="83"/>
    <col min="2836" max="2836" width="18.28515625" style="83" customWidth="1"/>
    <col min="2837" max="3072" width="9.140625" style="83"/>
    <col min="3073" max="3073" width="4.28515625" style="83" customWidth="1"/>
    <col min="3074" max="3074" width="52.7109375" style="83" customWidth="1"/>
    <col min="3075" max="3075" width="9.28515625" style="83" customWidth="1"/>
    <col min="3076" max="3076" width="17.7109375" style="83" customWidth="1"/>
    <col min="3077" max="3077" width="65.140625" style="83" customWidth="1"/>
    <col min="3078" max="3079" width="10.140625" style="83" customWidth="1"/>
    <col min="3080" max="3080" width="11.7109375" style="83" customWidth="1"/>
    <col min="3081" max="3081" width="13.85546875" style="83" customWidth="1"/>
    <col min="3082" max="3082" width="16.7109375" style="83" customWidth="1"/>
    <col min="3083" max="3083" width="16.5703125" style="83" customWidth="1"/>
    <col min="3084" max="3084" width="15.140625" style="83" customWidth="1"/>
    <col min="3085" max="3085" width="19.7109375" style="83" customWidth="1"/>
    <col min="3086" max="3086" width="19.5703125" style="83" customWidth="1"/>
    <col min="3087" max="3087" width="13.7109375" style="83" customWidth="1"/>
    <col min="3088" max="3088" width="34.42578125" style="83" customWidth="1"/>
    <col min="3089" max="3089" width="26.7109375" style="83" customWidth="1"/>
    <col min="3090" max="3090" width="15.28515625" style="83" customWidth="1"/>
    <col min="3091" max="3091" width="9.140625" style="83"/>
    <col min="3092" max="3092" width="18.28515625" style="83" customWidth="1"/>
    <col min="3093" max="3328" width="9.140625" style="83"/>
    <col min="3329" max="3329" width="4.28515625" style="83" customWidth="1"/>
    <col min="3330" max="3330" width="52.7109375" style="83" customWidth="1"/>
    <col min="3331" max="3331" width="9.28515625" style="83" customWidth="1"/>
    <col min="3332" max="3332" width="17.7109375" style="83" customWidth="1"/>
    <col min="3333" max="3333" width="65.140625" style="83" customWidth="1"/>
    <col min="3334" max="3335" width="10.140625" style="83" customWidth="1"/>
    <col min="3336" max="3336" width="11.7109375" style="83" customWidth="1"/>
    <col min="3337" max="3337" width="13.85546875" style="83" customWidth="1"/>
    <col min="3338" max="3338" width="16.7109375" style="83" customWidth="1"/>
    <col min="3339" max="3339" width="16.5703125" style="83" customWidth="1"/>
    <col min="3340" max="3340" width="15.140625" style="83" customWidth="1"/>
    <col min="3341" max="3341" width="19.7109375" style="83" customWidth="1"/>
    <col min="3342" max="3342" width="19.5703125" style="83" customWidth="1"/>
    <col min="3343" max="3343" width="13.7109375" style="83" customWidth="1"/>
    <col min="3344" max="3344" width="34.42578125" style="83" customWidth="1"/>
    <col min="3345" max="3345" width="26.7109375" style="83" customWidth="1"/>
    <col min="3346" max="3346" width="15.28515625" style="83" customWidth="1"/>
    <col min="3347" max="3347" width="9.140625" style="83"/>
    <col min="3348" max="3348" width="18.28515625" style="83" customWidth="1"/>
    <col min="3349" max="3584" width="9.140625" style="83"/>
    <col min="3585" max="3585" width="4.28515625" style="83" customWidth="1"/>
    <col min="3586" max="3586" width="52.7109375" style="83" customWidth="1"/>
    <col min="3587" max="3587" width="9.28515625" style="83" customWidth="1"/>
    <col min="3588" max="3588" width="17.7109375" style="83" customWidth="1"/>
    <col min="3589" max="3589" width="65.140625" style="83" customWidth="1"/>
    <col min="3590" max="3591" width="10.140625" style="83" customWidth="1"/>
    <col min="3592" max="3592" width="11.7109375" style="83" customWidth="1"/>
    <col min="3593" max="3593" width="13.85546875" style="83" customWidth="1"/>
    <col min="3594" max="3594" width="16.7109375" style="83" customWidth="1"/>
    <col min="3595" max="3595" width="16.5703125" style="83" customWidth="1"/>
    <col min="3596" max="3596" width="15.140625" style="83" customWidth="1"/>
    <col min="3597" max="3597" width="19.7109375" style="83" customWidth="1"/>
    <col min="3598" max="3598" width="19.5703125" style="83" customWidth="1"/>
    <col min="3599" max="3599" width="13.7109375" style="83" customWidth="1"/>
    <col min="3600" max="3600" width="34.42578125" style="83" customWidth="1"/>
    <col min="3601" max="3601" width="26.7109375" style="83" customWidth="1"/>
    <col min="3602" max="3602" width="15.28515625" style="83" customWidth="1"/>
    <col min="3603" max="3603" width="9.140625" style="83"/>
    <col min="3604" max="3604" width="18.28515625" style="83" customWidth="1"/>
    <col min="3605" max="3840" width="9.140625" style="83"/>
    <col min="3841" max="3841" width="4.28515625" style="83" customWidth="1"/>
    <col min="3842" max="3842" width="52.7109375" style="83" customWidth="1"/>
    <col min="3843" max="3843" width="9.28515625" style="83" customWidth="1"/>
    <col min="3844" max="3844" width="17.7109375" style="83" customWidth="1"/>
    <col min="3845" max="3845" width="65.140625" style="83" customWidth="1"/>
    <col min="3846" max="3847" width="10.140625" style="83" customWidth="1"/>
    <col min="3848" max="3848" width="11.7109375" style="83" customWidth="1"/>
    <col min="3849" max="3849" width="13.85546875" style="83" customWidth="1"/>
    <col min="3850" max="3850" width="16.7109375" style="83" customWidth="1"/>
    <col min="3851" max="3851" width="16.5703125" style="83" customWidth="1"/>
    <col min="3852" max="3852" width="15.140625" style="83" customWidth="1"/>
    <col min="3853" max="3853" width="19.7109375" style="83" customWidth="1"/>
    <col min="3854" max="3854" width="19.5703125" style="83" customWidth="1"/>
    <col min="3855" max="3855" width="13.7109375" style="83" customWidth="1"/>
    <col min="3856" max="3856" width="34.42578125" style="83" customWidth="1"/>
    <col min="3857" max="3857" width="26.7109375" style="83" customWidth="1"/>
    <col min="3858" max="3858" width="15.28515625" style="83" customWidth="1"/>
    <col min="3859" max="3859" width="9.140625" style="83"/>
    <col min="3860" max="3860" width="18.28515625" style="83" customWidth="1"/>
    <col min="3861" max="4096" width="9.140625" style="83"/>
    <col min="4097" max="4097" width="4.28515625" style="83" customWidth="1"/>
    <col min="4098" max="4098" width="52.7109375" style="83" customWidth="1"/>
    <col min="4099" max="4099" width="9.28515625" style="83" customWidth="1"/>
    <col min="4100" max="4100" width="17.7109375" style="83" customWidth="1"/>
    <col min="4101" max="4101" width="65.140625" style="83" customWidth="1"/>
    <col min="4102" max="4103" width="10.140625" style="83" customWidth="1"/>
    <col min="4104" max="4104" width="11.7109375" style="83" customWidth="1"/>
    <col min="4105" max="4105" width="13.85546875" style="83" customWidth="1"/>
    <col min="4106" max="4106" width="16.7109375" style="83" customWidth="1"/>
    <col min="4107" max="4107" width="16.5703125" style="83" customWidth="1"/>
    <col min="4108" max="4108" width="15.140625" style="83" customWidth="1"/>
    <col min="4109" max="4109" width="19.7109375" style="83" customWidth="1"/>
    <col min="4110" max="4110" width="19.5703125" style="83" customWidth="1"/>
    <col min="4111" max="4111" width="13.7109375" style="83" customWidth="1"/>
    <col min="4112" max="4112" width="34.42578125" style="83" customWidth="1"/>
    <col min="4113" max="4113" width="26.7109375" style="83" customWidth="1"/>
    <col min="4114" max="4114" width="15.28515625" style="83" customWidth="1"/>
    <col min="4115" max="4115" width="9.140625" style="83"/>
    <col min="4116" max="4116" width="18.28515625" style="83" customWidth="1"/>
    <col min="4117" max="4352" width="9.140625" style="83"/>
    <col min="4353" max="4353" width="4.28515625" style="83" customWidth="1"/>
    <col min="4354" max="4354" width="52.7109375" style="83" customWidth="1"/>
    <col min="4355" max="4355" width="9.28515625" style="83" customWidth="1"/>
    <col min="4356" max="4356" width="17.7109375" style="83" customWidth="1"/>
    <col min="4357" max="4357" width="65.140625" style="83" customWidth="1"/>
    <col min="4358" max="4359" width="10.140625" style="83" customWidth="1"/>
    <col min="4360" max="4360" width="11.7109375" style="83" customWidth="1"/>
    <col min="4361" max="4361" width="13.85546875" style="83" customWidth="1"/>
    <col min="4362" max="4362" width="16.7109375" style="83" customWidth="1"/>
    <col min="4363" max="4363" width="16.5703125" style="83" customWidth="1"/>
    <col min="4364" max="4364" width="15.140625" style="83" customWidth="1"/>
    <col min="4365" max="4365" width="19.7109375" style="83" customWidth="1"/>
    <col min="4366" max="4366" width="19.5703125" style="83" customWidth="1"/>
    <col min="4367" max="4367" width="13.7109375" style="83" customWidth="1"/>
    <col min="4368" max="4368" width="34.42578125" style="83" customWidth="1"/>
    <col min="4369" max="4369" width="26.7109375" style="83" customWidth="1"/>
    <col min="4370" max="4370" width="15.28515625" style="83" customWidth="1"/>
    <col min="4371" max="4371" width="9.140625" style="83"/>
    <col min="4372" max="4372" width="18.28515625" style="83" customWidth="1"/>
    <col min="4373" max="4608" width="9.140625" style="83"/>
    <col min="4609" max="4609" width="4.28515625" style="83" customWidth="1"/>
    <col min="4610" max="4610" width="52.7109375" style="83" customWidth="1"/>
    <col min="4611" max="4611" width="9.28515625" style="83" customWidth="1"/>
    <col min="4612" max="4612" width="17.7109375" style="83" customWidth="1"/>
    <col min="4613" max="4613" width="65.140625" style="83" customWidth="1"/>
    <col min="4614" max="4615" width="10.140625" style="83" customWidth="1"/>
    <col min="4616" max="4616" width="11.7109375" style="83" customWidth="1"/>
    <col min="4617" max="4617" width="13.85546875" style="83" customWidth="1"/>
    <col min="4618" max="4618" width="16.7109375" style="83" customWidth="1"/>
    <col min="4619" max="4619" width="16.5703125" style="83" customWidth="1"/>
    <col min="4620" max="4620" width="15.140625" style="83" customWidth="1"/>
    <col min="4621" max="4621" width="19.7109375" style="83" customWidth="1"/>
    <col min="4622" max="4622" width="19.5703125" style="83" customWidth="1"/>
    <col min="4623" max="4623" width="13.7109375" style="83" customWidth="1"/>
    <col min="4624" max="4624" width="34.42578125" style="83" customWidth="1"/>
    <col min="4625" max="4625" width="26.7109375" style="83" customWidth="1"/>
    <col min="4626" max="4626" width="15.28515625" style="83" customWidth="1"/>
    <col min="4627" max="4627" width="9.140625" style="83"/>
    <col min="4628" max="4628" width="18.28515625" style="83" customWidth="1"/>
    <col min="4629" max="4864" width="9.140625" style="83"/>
    <col min="4865" max="4865" width="4.28515625" style="83" customWidth="1"/>
    <col min="4866" max="4866" width="52.7109375" style="83" customWidth="1"/>
    <col min="4867" max="4867" width="9.28515625" style="83" customWidth="1"/>
    <col min="4868" max="4868" width="17.7109375" style="83" customWidth="1"/>
    <col min="4869" max="4869" width="65.140625" style="83" customWidth="1"/>
    <col min="4870" max="4871" width="10.140625" style="83" customWidth="1"/>
    <col min="4872" max="4872" width="11.7109375" style="83" customWidth="1"/>
    <col min="4873" max="4873" width="13.85546875" style="83" customWidth="1"/>
    <col min="4874" max="4874" width="16.7109375" style="83" customWidth="1"/>
    <col min="4875" max="4875" width="16.5703125" style="83" customWidth="1"/>
    <col min="4876" max="4876" width="15.140625" style="83" customWidth="1"/>
    <col min="4877" max="4877" width="19.7109375" style="83" customWidth="1"/>
    <col min="4878" max="4878" width="19.5703125" style="83" customWidth="1"/>
    <col min="4879" max="4879" width="13.7109375" style="83" customWidth="1"/>
    <col min="4880" max="4880" width="34.42578125" style="83" customWidth="1"/>
    <col min="4881" max="4881" width="26.7109375" style="83" customWidth="1"/>
    <col min="4882" max="4882" width="15.28515625" style="83" customWidth="1"/>
    <col min="4883" max="4883" width="9.140625" style="83"/>
    <col min="4884" max="4884" width="18.28515625" style="83" customWidth="1"/>
    <col min="4885" max="5120" width="9.140625" style="83"/>
    <col min="5121" max="5121" width="4.28515625" style="83" customWidth="1"/>
    <col min="5122" max="5122" width="52.7109375" style="83" customWidth="1"/>
    <col min="5123" max="5123" width="9.28515625" style="83" customWidth="1"/>
    <col min="5124" max="5124" width="17.7109375" style="83" customWidth="1"/>
    <col min="5125" max="5125" width="65.140625" style="83" customWidth="1"/>
    <col min="5126" max="5127" width="10.140625" style="83" customWidth="1"/>
    <col min="5128" max="5128" width="11.7109375" style="83" customWidth="1"/>
    <col min="5129" max="5129" width="13.85546875" style="83" customWidth="1"/>
    <col min="5130" max="5130" width="16.7109375" style="83" customWidth="1"/>
    <col min="5131" max="5131" width="16.5703125" style="83" customWidth="1"/>
    <col min="5132" max="5132" width="15.140625" style="83" customWidth="1"/>
    <col min="5133" max="5133" width="19.7109375" style="83" customWidth="1"/>
    <col min="5134" max="5134" width="19.5703125" style="83" customWidth="1"/>
    <col min="5135" max="5135" width="13.7109375" style="83" customWidth="1"/>
    <col min="5136" max="5136" width="34.42578125" style="83" customWidth="1"/>
    <col min="5137" max="5137" width="26.7109375" style="83" customWidth="1"/>
    <col min="5138" max="5138" width="15.28515625" style="83" customWidth="1"/>
    <col min="5139" max="5139" width="9.140625" style="83"/>
    <col min="5140" max="5140" width="18.28515625" style="83" customWidth="1"/>
    <col min="5141" max="5376" width="9.140625" style="83"/>
    <col min="5377" max="5377" width="4.28515625" style="83" customWidth="1"/>
    <col min="5378" max="5378" width="52.7109375" style="83" customWidth="1"/>
    <col min="5379" max="5379" width="9.28515625" style="83" customWidth="1"/>
    <col min="5380" max="5380" width="17.7109375" style="83" customWidth="1"/>
    <col min="5381" max="5381" width="65.140625" style="83" customWidth="1"/>
    <col min="5382" max="5383" width="10.140625" style="83" customWidth="1"/>
    <col min="5384" max="5384" width="11.7109375" style="83" customWidth="1"/>
    <col min="5385" max="5385" width="13.85546875" style="83" customWidth="1"/>
    <col min="5386" max="5386" width="16.7109375" style="83" customWidth="1"/>
    <col min="5387" max="5387" width="16.5703125" style="83" customWidth="1"/>
    <col min="5388" max="5388" width="15.140625" style="83" customWidth="1"/>
    <col min="5389" max="5389" width="19.7109375" style="83" customWidth="1"/>
    <col min="5390" max="5390" width="19.5703125" style="83" customWidth="1"/>
    <col min="5391" max="5391" width="13.7109375" style="83" customWidth="1"/>
    <col min="5392" max="5392" width="34.42578125" style="83" customWidth="1"/>
    <col min="5393" max="5393" width="26.7109375" style="83" customWidth="1"/>
    <col min="5394" max="5394" width="15.28515625" style="83" customWidth="1"/>
    <col min="5395" max="5395" width="9.140625" style="83"/>
    <col min="5396" max="5396" width="18.28515625" style="83" customWidth="1"/>
    <col min="5397" max="5632" width="9.140625" style="83"/>
    <col min="5633" max="5633" width="4.28515625" style="83" customWidth="1"/>
    <col min="5634" max="5634" width="52.7109375" style="83" customWidth="1"/>
    <col min="5635" max="5635" width="9.28515625" style="83" customWidth="1"/>
    <col min="5636" max="5636" width="17.7109375" style="83" customWidth="1"/>
    <col min="5637" max="5637" width="65.140625" style="83" customWidth="1"/>
    <col min="5638" max="5639" width="10.140625" style="83" customWidth="1"/>
    <col min="5640" max="5640" width="11.7109375" style="83" customWidth="1"/>
    <col min="5641" max="5641" width="13.85546875" style="83" customWidth="1"/>
    <col min="5642" max="5642" width="16.7109375" style="83" customWidth="1"/>
    <col min="5643" max="5643" width="16.5703125" style="83" customWidth="1"/>
    <col min="5644" max="5644" width="15.140625" style="83" customWidth="1"/>
    <col min="5645" max="5645" width="19.7109375" style="83" customWidth="1"/>
    <col min="5646" max="5646" width="19.5703125" style="83" customWidth="1"/>
    <col min="5647" max="5647" width="13.7109375" style="83" customWidth="1"/>
    <col min="5648" max="5648" width="34.42578125" style="83" customWidth="1"/>
    <col min="5649" max="5649" width="26.7109375" style="83" customWidth="1"/>
    <col min="5650" max="5650" width="15.28515625" style="83" customWidth="1"/>
    <col min="5651" max="5651" width="9.140625" style="83"/>
    <col min="5652" max="5652" width="18.28515625" style="83" customWidth="1"/>
    <col min="5653" max="5888" width="9.140625" style="83"/>
    <col min="5889" max="5889" width="4.28515625" style="83" customWidth="1"/>
    <col min="5890" max="5890" width="52.7109375" style="83" customWidth="1"/>
    <col min="5891" max="5891" width="9.28515625" style="83" customWidth="1"/>
    <col min="5892" max="5892" width="17.7109375" style="83" customWidth="1"/>
    <col min="5893" max="5893" width="65.140625" style="83" customWidth="1"/>
    <col min="5894" max="5895" width="10.140625" style="83" customWidth="1"/>
    <col min="5896" max="5896" width="11.7109375" style="83" customWidth="1"/>
    <col min="5897" max="5897" width="13.85546875" style="83" customWidth="1"/>
    <col min="5898" max="5898" width="16.7109375" style="83" customWidth="1"/>
    <col min="5899" max="5899" width="16.5703125" style="83" customWidth="1"/>
    <col min="5900" max="5900" width="15.140625" style="83" customWidth="1"/>
    <col min="5901" max="5901" width="19.7109375" style="83" customWidth="1"/>
    <col min="5902" max="5902" width="19.5703125" style="83" customWidth="1"/>
    <col min="5903" max="5903" width="13.7109375" style="83" customWidth="1"/>
    <col min="5904" max="5904" width="34.42578125" style="83" customWidth="1"/>
    <col min="5905" max="5905" width="26.7109375" style="83" customWidth="1"/>
    <col min="5906" max="5906" width="15.28515625" style="83" customWidth="1"/>
    <col min="5907" max="5907" width="9.140625" style="83"/>
    <col min="5908" max="5908" width="18.28515625" style="83" customWidth="1"/>
    <col min="5909" max="6144" width="9.140625" style="83"/>
    <col min="6145" max="6145" width="4.28515625" style="83" customWidth="1"/>
    <col min="6146" max="6146" width="52.7109375" style="83" customWidth="1"/>
    <col min="6147" max="6147" width="9.28515625" style="83" customWidth="1"/>
    <col min="6148" max="6148" width="17.7109375" style="83" customWidth="1"/>
    <col min="6149" max="6149" width="65.140625" style="83" customWidth="1"/>
    <col min="6150" max="6151" width="10.140625" style="83" customWidth="1"/>
    <col min="6152" max="6152" width="11.7109375" style="83" customWidth="1"/>
    <col min="6153" max="6153" width="13.85546875" style="83" customWidth="1"/>
    <col min="6154" max="6154" width="16.7109375" style="83" customWidth="1"/>
    <col min="6155" max="6155" width="16.5703125" style="83" customWidth="1"/>
    <col min="6156" max="6156" width="15.140625" style="83" customWidth="1"/>
    <col min="6157" max="6157" width="19.7109375" style="83" customWidth="1"/>
    <col min="6158" max="6158" width="19.5703125" style="83" customWidth="1"/>
    <col min="6159" max="6159" width="13.7109375" style="83" customWidth="1"/>
    <col min="6160" max="6160" width="34.42578125" style="83" customWidth="1"/>
    <col min="6161" max="6161" width="26.7109375" style="83" customWidth="1"/>
    <col min="6162" max="6162" width="15.28515625" style="83" customWidth="1"/>
    <col min="6163" max="6163" width="9.140625" style="83"/>
    <col min="6164" max="6164" width="18.28515625" style="83" customWidth="1"/>
    <col min="6165" max="6400" width="9.140625" style="83"/>
    <col min="6401" max="6401" width="4.28515625" style="83" customWidth="1"/>
    <col min="6402" max="6402" width="52.7109375" style="83" customWidth="1"/>
    <col min="6403" max="6403" width="9.28515625" style="83" customWidth="1"/>
    <col min="6404" max="6404" width="17.7109375" style="83" customWidth="1"/>
    <col min="6405" max="6405" width="65.140625" style="83" customWidth="1"/>
    <col min="6406" max="6407" width="10.140625" style="83" customWidth="1"/>
    <col min="6408" max="6408" width="11.7109375" style="83" customWidth="1"/>
    <col min="6409" max="6409" width="13.85546875" style="83" customWidth="1"/>
    <col min="6410" max="6410" width="16.7109375" style="83" customWidth="1"/>
    <col min="6411" max="6411" width="16.5703125" style="83" customWidth="1"/>
    <col min="6412" max="6412" width="15.140625" style="83" customWidth="1"/>
    <col min="6413" max="6413" width="19.7109375" style="83" customWidth="1"/>
    <col min="6414" max="6414" width="19.5703125" style="83" customWidth="1"/>
    <col min="6415" max="6415" width="13.7109375" style="83" customWidth="1"/>
    <col min="6416" max="6416" width="34.42578125" style="83" customWidth="1"/>
    <col min="6417" max="6417" width="26.7109375" style="83" customWidth="1"/>
    <col min="6418" max="6418" width="15.28515625" style="83" customWidth="1"/>
    <col min="6419" max="6419" width="9.140625" style="83"/>
    <col min="6420" max="6420" width="18.28515625" style="83" customWidth="1"/>
    <col min="6421" max="6656" width="9.140625" style="83"/>
    <col min="6657" max="6657" width="4.28515625" style="83" customWidth="1"/>
    <col min="6658" max="6658" width="52.7109375" style="83" customWidth="1"/>
    <col min="6659" max="6659" width="9.28515625" style="83" customWidth="1"/>
    <col min="6660" max="6660" width="17.7109375" style="83" customWidth="1"/>
    <col min="6661" max="6661" width="65.140625" style="83" customWidth="1"/>
    <col min="6662" max="6663" width="10.140625" style="83" customWidth="1"/>
    <col min="6664" max="6664" width="11.7109375" style="83" customWidth="1"/>
    <col min="6665" max="6665" width="13.85546875" style="83" customWidth="1"/>
    <col min="6666" max="6666" width="16.7109375" style="83" customWidth="1"/>
    <col min="6667" max="6667" width="16.5703125" style="83" customWidth="1"/>
    <col min="6668" max="6668" width="15.140625" style="83" customWidth="1"/>
    <col min="6669" max="6669" width="19.7109375" style="83" customWidth="1"/>
    <col min="6670" max="6670" width="19.5703125" style="83" customWidth="1"/>
    <col min="6671" max="6671" width="13.7109375" style="83" customWidth="1"/>
    <col min="6672" max="6672" width="34.42578125" style="83" customWidth="1"/>
    <col min="6673" max="6673" width="26.7109375" style="83" customWidth="1"/>
    <col min="6674" max="6674" width="15.28515625" style="83" customWidth="1"/>
    <col min="6675" max="6675" width="9.140625" style="83"/>
    <col min="6676" max="6676" width="18.28515625" style="83" customWidth="1"/>
    <col min="6677" max="6912" width="9.140625" style="83"/>
    <col min="6913" max="6913" width="4.28515625" style="83" customWidth="1"/>
    <col min="6914" max="6914" width="52.7109375" style="83" customWidth="1"/>
    <col min="6915" max="6915" width="9.28515625" style="83" customWidth="1"/>
    <col min="6916" max="6916" width="17.7109375" style="83" customWidth="1"/>
    <col min="6917" max="6917" width="65.140625" style="83" customWidth="1"/>
    <col min="6918" max="6919" width="10.140625" style="83" customWidth="1"/>
    <col min="6920" max="6920" width="11.7109375" style="83" customWidth="1"/>
    <col min="6921" max="6921" width="13.85546875" style="83" customWidth="1"/>
    <col min="6922" max="6922" width="16.7109375" style="83" customWidth="1"/>
    <col min="6923" max="6923" width="16.5703125" style="83" customWidth="1"/>
    <col min="6924" max="6924" width="15.140625" style="83" customWidth="1"/>
    <col min="6925" max="6925" width="19.7109375" style="83" customWidth="1"/>
    <col min="6926" max="6926" width="19.5703125" style="83" customWidth="1"/>
    <col min="6927" max="6927" width="13.7109375" style="83" customWidth="1"/>
    <col min="6928" max="6928" width="34.42578125" style="83" customWidth="1"/>
    <col min="6929" max="6929" width="26.7109375" style="83" customWidth="1"/>
    <col min="6930" max="6930" width="15.28515625" style="83" customWidth="1"/>
    <col min="6931" max="6931" width="9.140625" style="83"/>
    <col min="6932" max="6932" width="18.28515625" style="83" customWidth="1"/>
    <col min="6933" max="7168" width="9.140625" style="83"/>
    <col min="7169" max="7169" width="4.28515625" style="83" customWidth="1"/>
    <col min="7170" max="7170" width="52.7109375" style="83" customWidth="1"/>
    <col min="7171" max="7171" width="9.28515625" style="83" customWidth="1"/>
    <col min="7172" max="7172" width="17.7109375" style="83" customWidth="1"/>
    <col min="7173" max="7173" width="65.140625" style="83" customWidth="1"/>
    <col min="7174" max="7175" width="10.140625" style="83" customWidth="1"/>
    <col min="7176" max="7176" width="11.7109375" style="83" customWidth="1"/>
    <col min="7177" max="7177" width="13.85546875" style="83" customWidth="1"/>
    <col min="7178" max="7178" width="16.7109375" style="83" customWidth="1"/>
    <col min="7179" max="7179" width="16.5703125" style="83" customWidth="1"/>
    <col min="7180" max="7180" width="15.140625" style="83" customWidth="1"/>
    <col min="7181" max="7181" width="19.7109375" style="83" customWidth="1"/>
    <col min="7182" max="7182" width="19.5703125" style="83" customWidth="1"/>
    <col min="7183" max="7183" width="13.7109375" style="83" customWidth="1"/>
    <col min="7184" max="7184" width="34.42578125" style="83" customWidth="1"/>
    <col min="7185" max="7185" width="26.7109375" style="83" customWidth="1"/>
    <col min="7186" max="7186" width="15.28515625" style="83" customWidth="1"/>
    <col min="7187" max="7187" width="9.140625" style="83"/>
    <col min="7188" max="7188" width="18.28515625" style="83" customWidth="1"/>
    <col min="7189" max="7424" width="9.140625" style="83"/>
    <col min="7425" max="7425" width="4.28515625" style="83" customWidth="1"/>
    <col min="7426" max="7426" width="52.7109375" style="83" customWidth="1"/>
    <col min="7427" max="7427" width="9.28515625" style="83" customWidth="1"/>
    <col min="7428" max="7428" width="17.7109375" style="83" customWidth="1"/>
    <col min="7429" max="7429" width="65.140625" style="83" customWidth="1"/>
    <col min="7430" max="7431" width="10.140625" style="83" customWidth="1"/>
    <col min="7432" max="7432" width="11.7109375" style="83" customWidth="1"/>
    <col min="7433" max="7433" width="13.85546875" style="83" customWidth="1"/>
    <col min="7434" max="7434" width="16.7109375" style="83" customWidth="1"/>
    <col min="7435" max="7435" width="16.5703125" style="83" customWidth="1"/>
    <col min="7436" max="7436" width="15.140625" style="83" customWidth="1"/>
    <col min="7437" max="7437" width="19.7109375" style="83" customWidth="1"/>
    <col min="7438" max="7438" width="19.5703125" style="83" customWidth="1"/>
    <col min="7439" max="7439" width="13.7109375" style="83" customWidth="1"/>
    <col min="7440" max="7440" width="34.42578125" style="83" customWidth="1"/>
    <col min="7441" max="7441" width="26.7109375" style="83" customWidth="1"/>
    <col min="7442" max="7442" width="15.28515625" style="83" customWidth="1"/>
    <col min="7443" max="7443" width="9.140625" style="83"/>
    <col min="7444" max="7444" width="18.28515625" style="83" customWidth="1"/>
    <col min="7445" max="7680" width="9.140625" style="83"/>
    <col min="7681" max="7681" width="4.28515625" style="83" customWidth="1"/>
    <col min="7682" max="7682" width="52.7109375" style="83" customWidth="1"/>
    <col min="7683" max="7683" width="9.28515625" style="83" customWidth="1"/>
    <col min="7684" max="7684" width="17.7109375" style="83" customWidth="1"/>
    <col min="7685" max="7685" width="65.140625" style="83" customWidth="1"/>
    <col min="7686" max="7687" width="10.140625" style="83" customWidth="1"/>
    <col min="7688" max="7688" width="11.7109375" style="83" customWidth="1"/>
    <col min="7689" max="7689" width="13.85546875" style="83" customWidth="1"/>
    <col min="7690" max="7690" width="16.7109375" style="83" customWidth="1"/>
    <col min="7691" max="7691" width="16.5703125" style="83" customWidth="1"/>
    <col min="7692" max="7692" width="15.140625" style="83" customWidth="1"/>
    <col min="7693" max="7693" width="19.7109375" style="83" customWidth="1"/>
    <col min="7694" max="7694" width="19.5703125" style="83" customWidth="1"/>
    <col min="7695" max="7695" width="13.7109375" style="83" customWidth="1"/>
    <col min="7696" max="7696" width="34.42578125" style="83" customWidth="1"/>
    <col min="7697" max="7697" width="26.7109375" style="83" customWidth="1"/>
    <col min="7698" max="7698" width="15.28515625" style="83" customWidth="1"/>
    <col min="7699" max="7699" width="9.140625" style="83"/>
    <col min="7700" max="7700" width="18.28515625" style="83" customWidth="1"/>
    <col min="7701" max="7936" width="9.140625" style="83"/>
    <col min="7937" max="7937" width="4.28515625" style="83" customWidth="1"/>
    <col min="7938" max="7938" width="52.7109375" style="83" customWidth="1"/>
    <col min="7939" max="7939" width="9.28515625" style="83" customWidth="1"/>
    <col min="7940" max="7940" width="17.7109375" style="83" customWidth="1"/>
    <col min="7941" max="7941" width="65.140625" style="83" customWidth="1"/>
    <col min="7942" max="7943" width="10.140625" style="83" customWidth="1"/>
    <col min="7944" max="7944" width="11.7109375" style="83" customWidth="1"/>
    <col min="7945" max="7945" width="13.85546875" style="83" customWidth="1"/>
    <col min="7946" max="7946" width="16.7109375" style="83" customWidth="1"/>
    <col min="7947" max="7947" width="16.5703125" style="83" customWidth="1"/>
    <col min="7948" max="7948" width="15.140625" style="83" customWidth="1"/>
    <col min="7949" max="7949" width="19.7109375" style="83" customWidth="1"/>
    <col min="7950" max="7950" width="19.5703125" style="83" customWidth="1"/>
    <col min="7951" max="7951" width="13.7109375" style="83" customWidth="1"/>
    <col min="7952" max="7952" width="34.42578125" style="83" customWidth="1"/>
    <col min="7953" max="7953" width="26.7109375" style="83" customWidth="1"/>
    <col min="7954" max="7954" width="15.28515625" style="83" customWidth="1"/>
    <col min="7955" max="7955" width="9.140625" style="83"/>
    <col min="7956" max="7956" width="18.28515625" style="83" customWidth="1"/>
    <col min="7957" max="8192" width="9.140625" style="83"/>
    <col min="8193" max="8193" width="4.28515625" style="83" customWidth="1"/>
    <col min="8194" max="8194" width="52.7109375" style="83" customWidth="1"/>
    <col min="8195" max="8195" width="9.28515625" style="83" customWidth="1"/>
    <col min="8196" max="8196" width="17.7109375" style="83" customWidth="1"/>
    <col min="8197" max="8197" width="65.140625" style="83" customWidth="1"/>
    <col min="8198" max="8199" width="10.140625" style="83" customWidth="1"/>
    <col min="8200" max="8200" width="11.7109375" style="83" customWidth="1"/>
    <col min="8201" max="8201" width="13.85546875" style="83" customWidth="1"/>
    <col min="8202" max="8202" width="16.7109375" style="83" customWidth="1"/>
    <col min="8203" max="8203" width="16.5703125" style="83" customWidth="1"/>
    <col min="8204" max="8204" width="15.140625" style="83" customWidth="1"/>
    <col min="8205" max="8205" width="19.7109375" style="83" customWidth="1"/>
    <col min="8206" max="8206" width="19.5703125" style="83" customWidth="1"/>
    <col min="8207" max="8207" width="13.7109375" style="83" customWidth="1"/>
    <col min="8208" max="8208" width="34.42578125" style="83" customWidth="1"/>
    <col min="8209" max="8209" width="26.7109375" style="83" customWidth="1"/>
    <col min="8210" max="8210" width="15.28515625" style="83" customWidth="1"/>
    <col min="8211" max="8211" width="9.140625" style="83"/>
    <col min="8212" max="8212" width="18.28515625" style="83" customWidth="1"/>
    <col min="8213" max="8448" width="9.140625" style="83"/>
    <col min="8449" max="8449" width="4.28515625" style="83" customWidth="1"/>
    <col min="8450" max="8450" width="52.7109375" style="83" customWidth="1"/>
    <col min="8451" max="8451" width="9.28515625" style="83" customWidth="1"/>
    <col min="8452" max="8452" width="17.7109375" style="83" customWidth="1"/>
    <col min="8453" max="8453" width="65.140625" style="83" customWidth="1"/>
    <col min="8454" max="8455" width="10.140625" style="83" customWidth="1"/>
    <col min="8456" max="8456" width="11.7109375" style="83" customWidth="1"/>
    <col min="8457" max="8457" width="13.85546875" style="83" customWidth="1"/>
    <col min="8458" max="8458" width="16.7109375" style="83" customWidth="1"/>
    <col min="8459" max="8459" width="16.5703125" style="83" customWidth="1"/>
    <col min="8460" max="8460" width="15.140625" style="83" customWidth="1"/>
    <col min="8461" max="8461" width="19.7109375" style="83" customWidth="1"/>
    <col min="8462" max="8462" width="19.5703125" style="83" customWidth="1"/>
    <col min="8463" max="8463" width="13.7109375" style="83" customWidth="1"/>
    <col min="8464" max="8464" width="34.42578125" style="83" customWidth="1"/>
    <col min="8465" max="8465" width="26.7109375" style="83" customWidth="1"/>
    <col min="8466" max="8466" width="15.28515625" style="83" customWidth="1"/>
    <col min="8467" max="8467" width="9.140625" style="83"/>
    <col min="8468" max="8468" width="18.28515625" style="83" customWidth="1"/>
    <col min="8469" max="8704" width="9.140625" style="83"/>
    <col min="8705" max="8705" width="4.28515625" style="83" customWidth="1"/>
    <col min="8706" max="8706" width="52.7109375" style="83" customWidth="1"/>
    <col min="8707" max="8707" width="9.28515625" style="83" customWidth="1"/>
    <col min="8708" max="8708" width="17.7109375" style="83" customWidth="1"/>
    <col min="8709" max="8709" width="65.140625" style="83" customWidth="1"/>
    <col min="8710" max="8711" width="10.140625" style="83" customWidth="1"/>
    <col min="8712" max="8712" width="11.7109375" style="83" customWidth="1"/>
    <col min="8713" max="8713" width="13.85546875" style="83" customWidth="1"/>
    <col min="8714" max="8714" width="16.7109375" style="83" customWidth="1"/>
    <col min="8715" max="8715" width="16.5703125" style="83" customWidth="1"/>
    <col min="8716" max="8716" width="15.140625" style="83" customWidth="1"/>
    <col min="8717" max="8717" width="19.7109375" style="83" customWidth="1"/>
    <col min="8718" max="8718" width="19.5703125" style="83" customWidth="1"/>
    <col min="8719" max="8719" width="13.7109375" style="83" customWidth="1"/>
    <col min="8720" max="8720" width="34.42578125" style="83" customWidth="1"/>
    <col min="8721" max="8721" width="26.7109375" style="83" customWidth="1"/>
    <col min="8722" max="8722" width="15.28515625" style="83" customWidth="1"/>
    <col min="8723" max="8723" width="9.140625" style="83"/>
    <col min="8724" max="8724" width="18.28515625" style="83" customWidth="1"/>
    <col min="8725" max="8960" width="9.140625" style="83"/>
    <col min="8961" max="8961" width="4.28515625" style="83" customWidth="1"/>
    <col min="8962" max="8962" width="52.7109375" style="83" customWidth="1"/>
    <col min="8963" max="8963" width="9.28515625" style="83" customWidth="1"/>
    <col min="8964" max="8964" width="17.7109375" style="83" customWidth="1"/>
    <col min="8965" max="8965" width="65.140625" style="83" customWidth="1"/>
    <col min="8966" max="8967" width="10.140625" style="83" customWidth="1"/>
    <col min="8968" max="8968" width="11.7109375" style="83" customWidth="1"/>
    <col min="8969" max="8969" width="13.85546875" style="83" customWidth="1"/>
    <col min="8970" max="8970" width="16.7109375" style="83" customWidth="1"/>
    <col min="8971" max="8971" width="16.5703125" style="83" customWidth="1"/>
    <col min="8972" max="8972" width="15.140625" style="83" customWidth="1"/>
    <col min="8973" max="8973" width="19.7109375" style="83" customWidth="1"/>
    <col min="8974" max="8974" width="19.5703125" style="83" customWidth="1"/>
    <col min="8975" max="8975" width="13.7109375" style="83" customWidth="1"/>
    <col min="8976" max="8976" width="34.42578125" style="83" customWidth="1"/>
    <col min="8977" max="8977" width="26.7109375" style="83" customWidth="1"/>
    <col min="8978" max="8978" width="15.28515625" style="83" customWidth="1"/>
    <col min="8979" max="8979" width="9.140625" style="83"/>
    <col min="8980" max="8980" width="18.28515625" style="83" customWidth="1"/>
    <col min="8981" max="9216" width="9.140625" style="83"/>
    <col min="9217" max="9217" width="4.28515625" style="83" customWidth="1"/>
    <col min="9218" max="9218" width="52.7109375" style="83" customWidth="1"/>
    <col min="9219" max="9219" width="9.28515625" style="83" customWidth="1"/>
    <col min="9220" max="9220" width="17.7109375" style="83" customWidth="1"/>
    <col min="9221" max="9221" width="65.140625" style="83" customWidth="1"/>
    <col min="9222" max="9223" width="10.140625" style="83" customWidth="1"/>
    <col min="9224" max="9224" width="11.7109375" style="83" customWidth="1"/>
    <col min="9225" max="9225" width="13.85546875" style="83" customWidth="1"/>
    <col min="9226" max="9226" width="16.7109375" style="83" customWidth="1"/>
    <col min="9227" max="9227" width="16.5703125" style="83" customWidth="1"/>
    <col min="9228" max="9228" width="15.140625" style="83" customWidth="1"/>
    <col min="9229" max="9229" width="19.7109375" style="83" customWidth="1"/>
    <col min="9230" max="9230" width="19.5703125" style="83" customWidth="1"/>
    <col min="9231" max="9231" width="13.7109375" style="83" customWidth="1"/>
    <col min="9232" max="9232" width="34.42578125" style="83" customWidth="1"/>
    <col min="9233" max="9233" width="26.7109375" style="83" customWidth="1"/>
    <col min="9234" max="9234" width="15.28515625" style="83" customWidth="1"/>
    <col min="9235" max="9235" width="9.140625" style="83"/>
    <col min="9236" max="9236" width="18.28515625" style="83" customWidth="1"/>
    <col min="9237" max="9472" width="9.140625" style="83"/>
    <col min="9473" max="9473" width="4.28515625" style="83" customWidth="1"/>
    <col min="9474" max="9474" width="52.7109375" style="83" customWidth="1"/>
    <col min="9475" max="9475" width="9.28515625" style="83" customWidth="1"/>
    <col min="9476" max="9476" width="17.7109375" style="83" customWidth="1"/>
    <col min="9477" max="9477" width="65.140625" style="83" customWidth="1"/>
    <col min="9478" max="9479" width="10.140625" style="83" customWidth="1"/>
    <col min="9480" max="9480" width="11.7109375" style="83" customWidth="1"/>
    <col min="9481" max="9481" width="13.85546875" style="83" customWidth="1"/>
    <col min="9482" max="9482" width="16.7109375" style="83" customWidth="1"/>
    <col min="9483" max="9483" width="16.5703125" style="83" customWidth="1"/>
    <col min="9484" max="9484" width="15.140625" style="83" customWidth="1"/>
    <col min="9485" max="9485" width="19.7109375" style="83" customWidth="1"/>
    <col min="9486" max="9486" width="19.5703125" style="83" customWidth="1"/>
    <col min="9487" max="9487" width="13.7109375" style="83" customWidth="1"/>
    <col min="9488" max="9488" width="34.42578125" style="83" customWidth="1"/>
    <col min="9489" max="9489" width="26.7109375" style="83" customWidth="1"/>
    <col min="9490" max="9490" width="15.28515625" style="83" customWidth="1"/>
    <col min="9491" max="9491" width="9.140625" style="83"/>
    <col min="9492" max="9492" width="18.28515625" style="83" customWidth="1"/>
    <col min="9493" max="9728" width="9.140625" style="83"/>
    <col min="9729" max="9729" width="4.28515625" style="83" customWidth="1"/>
    <col min="9730" max="9730" width="52.7109375" style="83" customWidth="1"/>
    <col min="9731" max="9731" width="9.28515625" style="83" customWidth="1"/>
    <col min="9732" max="9732" width="17.7109375" style="83" customWidth="1"/>
    <col min="9733" max="9733" width="65.140625" style="83" customWidth="1"/>
    <col min="9734" max="9735" width="10.140625" style="83" customWidth="1"/>
    <col min="9736" max="9736" width="11.7109375" style="83" customWidth="1"/>
    <col min="9737" max="9737" width="13.85546875" style="83" customWidth="1"/>
    <col min="9738" max="9738" width="16.7109375" style="83" customWidth="1"/>
    <col min="9739" max="9739" width="16.5703125" style="83" customWidth="1"/>
    <col min="9740" max="9740" width="15.140625" style="83" customWidth="1"/>
    <col min="9741" max="9741" width="19.7109375" style="83" customWidth="1"/>
    <col min="9742" max="9742" width="19.5703125" style="83" customWidth="1"/>
    <col min="9743" max="9743" width="13.7109375" style="83" customWidth="1"/>
    <col min="9744" max="9744" width="34.42578125" style="83" customWidth="1"/>
    <col min="9745" max="9745" width="26.7109375" style="83" customWidth="1"/>
    <col min="9746" max="9746" width="15.28515625" style="83" customWidth="1"/>
    <col min="9747" max="9747" width="9.140625" style="83"/>
    <col min="9748" max="9748" width="18.28515625" style="83" customWidth="1"/>
    <col min="9749" max="9984" width="9.140625" style="83"/>
    <col min="9985" max="9985" width="4.28515625" style="83" customWidth="1"/>
    <col min="9986" max="9986" width="52.7109375" style="83" customWidth="1"/>
    <col min="9987" max="9987" width="9.28515625" style="83" customWidth="1"/>
    <col min="9988" max="9988" width="17.7109375" style="83" customWidth="1"/>
    <col min="9989" max="9989" width="65.140625" style="83" customWidth="1"/>
    <col min="9990" max="9991" width="10.140625" style="83" customWidth="1"/>
    <col min="9992" max="9992" width="11.7109375" style="83" customWidth="1"/>
    <col min="9993" max="9993" width="13.85546875" style="83" customWidth="1"/>
    <col min="9994" max="9994" width="16.7109375" style="83" customWidth="1"/>
    <col min="9995" max="9995" width="16.5703125" style="83" customWidth="1"/>
    <col min="9996" max="9996" width="15.140625" style="83" customWidth="1"/>
    <col min="9997" max="9997" width="19.7109375" style="83" customWidth="1"/>
    <col min="9998" max="9998" width="19.5703125" style="83" customWidth="1"/>
    <col min="9999" max="9999" width="13.7109375" style="83" customWidth="1"/>
    <col min="10000" max="10000" width="34.42578125" style="83" customWidth="1"/>
    <col min="10001" max="10001" width="26.7109375" style="83" customWidth="1"/>
    <col min="10002" max="10002" width="15.28515625" style="83" customWidth="1"/>
    <col min="10003" max="10003" width="9.140625" style="83"/>
    <col min="10004" max="10004" width="18.28515625" style="83" customWidth="1"/>
    <col min="10005" max="10240" width="9.140625" style="83"/>
    <col min="10241" max="10241" width="4.28515625" style="83" customWidth="1"/>
    <col min="10242" max="10242" width="52.7109375" style="83" customWidth="1"/>
    <col min="10243" max="10243" width="9.28515625" style="83" customWidth="1"/>
    <col min="10244" max="10244" width="17.7109375" style="83" customWidth="1"/>
    <col min="10245" max="10245" width="65.140625" style="83" customWidth="1"/>
    <col min="10246" max="10247" width="10.140625" style="83" customWidth="1"/>
    <col min="10248" max="10248" width="11.7109375" style="83" customWidth="1"/>
    <col min="10249" max="10249" width="13.85546875" style="83" customWidth="1"/>
    <col min="10250" max="10250" width="16.7109375" style="83" customWidth="1"/>
    <col min="10251" max="10251" width="16.5703125" style="83" customWidth="1"/>
    <col min="10252" max="10252" width="15.140625" style="83" customWidth="1"/>
    <col min="10253" max="10253" width="19.7109375" style="83" customWidth="1"/>
    <col min="10254" max="10254" width="19.5703125" style="83" customWidth="1"/>
    <col min="10255" max="10255" width="13.7109375" style="83" customWidth="1"/>
    <col min="10256" max="10256" width="34.42578125" style="83" customWidth="1"/>
    <col min="10257" max="10257" width="26.7109375" style="83" customWidth="1"/>
    <col min="10258" max="10258" width="15.28515625" style="83" customWidth="1"/>
    <col min="10259" max="10259" width="9.140625" style="83"/>
    <col min="10260" max="10260" width="18.28515625" style="83" customWidth="1"/>
    <col min="10261" max="10496" width="9.140625" style="83"/>
    <col min="10497" max="10497" width="4.28515625" style="83" customWidth="1"/>
    <col min="10498" max="10498" width="52.7109375" style="83" customWidth="1"/>
    <col min="10499" max="10499" width="9.28515625" style="83" customWidth="1"/>
    <col min="10500" max="10500" width="17.7109375" style="83" customWidth="1"/>
    <col min="10501" max="10501" width="65.140625" style="83" customWidth="1"/>
    <col min="10502" max="10503" width="10.140625" style="83" customWidth="1"/>
    <col min="10504" max="10504" width="11.7109375" style="83" customWidth="1"/>
    <col min="10505" max="10505" width="13.85546875" style="83" customWidth="1"/>
    <col min="10506" max="10506" width="16.7109375" style="83" customWidth="1"/>
    <col min="10507" max="10507" width="16.5703125" style="83" customWidth="1"/>
    <col min="10508" max="10508" width="15.140625" style="83" customWidth="1"/>
    <col min="10509" max="10509" width="19.7109375" style="83" customWidth="1"/>
    <col min="10510" max="10510" width="19.5703125" style="83" customWidth="1"/>
    <col min="10511" max="10511" width="13.7109375" style="83" customWidth="1"/>
    <col min="10512" max="10512" width="34.42578125" style="83" customWidth="1"/>
    <col min="10513" max="10513" width="26.7109375" style="83" customWidth="1"/>
    <col min="10514" max="10514" width="15.28515625" style="83" customWidth="1"/>
    <col min="10515" max="10515" width="9.140625" style="83"/>
    <col min="10516" max="10516" width="18.28515625" style="83" customWidth="1"/>
    <col min="10517" max="10752" width="9.140625" style="83"/>
    <col min="10753" max="10753" width="4.28515625" style="83" customWidth="1"/>
    <col min="10754" max="10754" width="52.7109375" style="83" customWidth="1"/>
    <col min="10755" max="10755" width="9.28515625" style="83" customWidth="1"/>
    <col min="10756" max="10756" width="17.7109375" style="83" customWidth="1"/>
    <col min="10757" max="10757" width="65.140625" style="83" customWidth="1"/>
    <col min="10758" max="10759" width="10.140625" style="83" customWidth="1"/>
    <col min="10760" max="10760" width="11.7109375" style="83" customWidth="1"/>
    <col min="10761" max="10761" width="13.85546875" style="83" customWidth="1"/>
    <col min="10762" max="10762" width="16.7109375" style="83" customWidth="1"/>
    <col min="10763" max="10763" width="16.5703125" style="83" customWidth="1"/>
    <col min="10764" max="10764" width="15.140625" style="83" customWidth="1"/>
    <col min="10765" max="10765" width="19.7109375" style="83" customWidth="1"/>
    <col min="10766" max="10766" width="19.5703125" style="83" customWidth="1"/>
    <col min="10767" max="10767" width="13.7109375" style="83" customWidth="1"/>
    <col min="10768" max="10768" width="34.42578125" style="83" customWidth="1"/>
    <col min="10769" max="10769" width="26.7109375" style="83" customWidth="1"/>
    <col min="10770" max="10770" width="15.28515625" style="83" customWidth="1"/>
    <col min="10771" max="10771" width="9.140625" style="83"/>
    <col min="10772" max="10772" width="18.28515625" style="83" customWidth="1"/>
    <col min="10773" max="11008" width="9.140625" style="83"/>
    <col min="11009" max="11009" width="4.28515625" style="83" customWidth="1"/>
    <col min="11010" max="11010" width="52.7109375" style="83" customWidth="1"/>
    <col min="11011" max="11011" width="9.28515625" style="83" customWidth="1"/>
    <col min="11012" max="11012" width="17.7109375" style="83" customWidth="1"/>
    <col min="11013" max="11013" width="65.140625" style="83" customWidth="1"/>
    <col min="11014" max="11015" width="10.140625" style="83" customWidth="1"/>
    <col min="11016" max="11016" width="11.7109375" style="83" customWidth="1"/>
    <col min="11017" max="11017" width="13.85546875" style="83" customWidth="1"/>
    <col min="11018" max="11018" width="16.7109375" style="83" customWidth="1"/>
    <col min="11019" max="11019" width="16.5703125" style="83" customWidth="1"/>
    <col min="11020" max="11020" width="15.140625" style="83" customWidth="1"/>
    <col min="11021" max="11021" width="19.7109375" style="83" customWidth="1"/>
    <col min="11022" max="11022" width="19.5703125" style="83" customWidth="1"/>
    <col min="11023" max="11023" width="13.7109375" style="83" customWidth="1"/>
    <col min="11024" max="11024" width="34.42578125" style="83" customWidth="1"/>
    <col min="11025" max="11025" width="26.7109375" style="83" customWidth="1"/>
    <col min="11026" max="11026" width="15.28515625" style="83" customWidth="1"/>
    <col min="11027" max="11027" width="9.140625" style="83"/>
    <col min="11028" max="11028" width="18.28515625" style="83" customWidth="1"/>
    <col min="11029" max="11264" width="9.140625" style="83"/>
    <col min="11265" max="11265" width="4.28515625" style="83" customWidth="1"/>
    <col min="11266" max="11266" width="52.7109375" style="83" customWidth="1"/>
    <col min="11267" max="11267" width="9.28515625" style="83" customWidth="1"/>
    <col min="11268" max="11268" width="17.7109375" style="83" customWidth="1"/>
    <col min="11269" max="11269" width="65.140625" style="83" customWidth="1"/>
    <col min="11270" max="11271" width="10.140625" style="83" customWidth="1"/>
    <col min="11272" max="11272" width="11.7109375" style="83" customWidth="1"/>
    <col min="11273" max="11273" width="13.85546875" style="83" customWidth="1"/>
    <col min="11274" max="11274" width="16.7109375" style="83" customWidth="1"/>
    <col min="11275" max="11275" width="16.5703125" style="83" customWidth="1"/>
    <col min="11276" max="11276" width="15.140625" style="83" customWidth="1"/>
    <col min="11277" max="11277" width="19.7109375" style="83" customWidth="1"/>
    <col min="11278" max="11278" width="19.5703125" style="83" customWidth="1"/>
    <col min="11279" max="11279" width="13.7109375" style="83" customWidth="1"/>
    <col min="11280" max="11280" width="34.42578125" style="83" customWidth="1"/>
    <col min="11281" max="11281" width="26.7109375" style="83" customWidth="1"/>
    <col min="11282" max="11282" width="15.28515625" style="83" customWidth="1"/>
    <col min="11283" max="11283" width="9.140625" style="83"/>
    <col min="11284" max="11284" width="18.28515625" style="83" customWidth="1"/>
    <col min="11285" max="11520" width="9.140625" style="83"/>
    <col min="11521" max="11521" width="4.28515625" style="83" customWidth="1"/>
    <col min="11522" max="11522" width="52.7109375" style="83" customWidth="1"/>
    <col min="11523" max="11523" width="9.28515625" style="83" customWidth="1"/>
    <col min="11524" max="11524" width="17.7109375" style="83" customWidth="1"/>
    <col min="11525" max="11525" width="65.140625" style="83" customWidth="1"/>
    <col min="11526" max="11527" width="10.140625" style="83" customWidth="1"/>
    <col min="11528" max="11528" width="11.7109375" style="83" customWidth="1"/>
    <col min="11529" max="11529" width="13.85546875" style="83" customWidth="1"/>
    <col min="11530" max="11530" width="16.7109375" style="83" customWidth="1"/>
    <col min="11531" max="11531" width="16.5703125" style="83" customWidth="1"/>
    <col min="11532" max="11532" width="15.140625" style="83" customWidth="1"/>
    <col min="11533" max="11533" width="19.7109375" style="83" customWidth="1"/>
    <col min="11534" max="11534" width="19.5703125" style="83" customWidth="1"/>
    <col min="11535" max="11535" width="13.7109375" style="83" customWidth="1"/>
    <col min="11536" max="11536" width="34.42578125" style="83" customWidth="1"/>
    <col min="11537" max="11537" width="26.7109375" style="83" customWidth="1"/>
    <col min="11538" max="11538" width="15.28515625" style="83" customWidth="1"/>
    <col min="11539" max="11539" width="9.140625" style="83"/>
    <col min="11540" max="11540" width="18.28515625" style="83" customWidth="1"/>
    <col min="11541" max="11776" width="9.140625" style="83"/>
    <col min="11777" max="11777" width="4.28515625" style="83" customWidth="1"/>
    <col min="11778" max="11778" width="52.7109375" style="83" customWidth="1"/>
    <col min="11779" max="11779" width="9.28515625" style="83" customWidth="1"/>
    <col min="11780" max="11780" width="17.7109375" style="83" customWidth="1"/>
    <col min="11781" max="11781" width="65.140625" style="83" customWidth="1"/>
    <col min="11782" max="11783" width="10.140625" style="83" customWidth="1"/>
    <col min="11784" max="11784" width="11.7109375" style="83" customWidth="1"/>
    <col min="11785" max="11785" width="13.85546875" style="83" customWidth="1"/>
    <col min="11786" max="11786" width="16.7109375" style="83" customWidth="1"/>
    <col min="11787" max="11787" width="16.5703125" style="83" customWidth="1"/>
    <col min="11788" max="11788" width="15.140625" style="83" customWidth="1"/>
    <col min="11789" max="11789" width="19.7109375" style="83" customWidth="1"/>
    <col min="11790" max="11790" width="19.5703125" style="83" customWidth="1"/>
    <col min="11791" max="11791" width="13.7109375" style="83" customWidth="1"/>
    <col min="11792" max="11792" width="34.42578125" style="83" customWidth="1"/>
    <col min="11793" max="11793" width="26.7109375" style="83" customWidth="1"/>
    <col min="11794" max="11794" width="15.28515625" style="83" customWidth="1"/>
    <col min="11795" max="11795" width="9.140625" style="83"/>
    <col min="11796" max="11796" width="18.28515625" style="83" customWidth="1"/>
    <col min="11797" max="12032" width="9.140625" style="83"/>
    <col min="12033" max="12033" width="4.28515625" style="83" customWidth="1"/>
    <col min="12034" max="12034" width="52.7109375" style="83" customWidth="1"/>
    <col min="12035" max="12035" width="9.28515625" style="83" customWidth="1"/>
    <col min="12036" max="12036" width="17.7109375" style="83" customWidth="1"/>
    <col min="12037" max="12037" width="65.140625" style="83" customWidth="1"/>
    <col min="12038" max="12039" width="10.140625" style="83" customWidth="1"/>
    <col min="12040" max="12040" width="11.7109375" style="83" customWidth="1"/>
    <col min="12041" max="12041" width="13.85546875" style="83" customWidth="1"/>
    <col min="12042" max="12042" width="16.7109375" style="83" customWidth="1"/>
    <col min="12043" max="12043" width="16.5703125" style="83" customWidth="1"/>
    <col min="12044" max="12044" width="15.140625" style="83" customWidth="1"/>
    <col min="12045" max="12045" width="19.7109375" style="83" customWidth="1"/>
    <col min="12046" max="12046" width="19.5703125" style="83" customWidth="1"/>
    <col min="12047" max="12047" width="13.7109375" style="83" customWidth="1"/>
    <col min="12048" max="12048" width="34.42578125" style="83" customWidth="1"/>
    <col min="12049" max="12049" width="26.7109375" style="83" customWidth="1"/>
    <col min="12050" max="12050" width="15.28515625" style="83" customWidth="1"/>
    <col min="12051" max="12051" width="9.140625" style="83"/>
    <col min="12052" max="12052" width="18.28515625" style="83" customWidth="1"/>
    <col min="12053" max="12288" width="9.140625" style="83"/>
    <col min="12289" max="12289" width="4.28515625" style="83" customWidth="1"/>
    <col min="12290" max="12290" width="52.7109375" style="83" customWidth="1"/>
    <col min="12291" max="12291" width="9.28515625" style="83" customWidth="1"/>
    <col min="12292" max="12292" width="17.7109375" style="83" customWidth="1"/>
    <col min="12293" max="12293" width="65.140625" style="83" customWidth="1"/>
    <col min="12294" max="12295" width="10.140625" style="83" customWidth="1"/>
    <col min="12296" max="12296" width="11.7109375" style="83" customWidth="1"/>
    <col min="12297" max="12297" width="13.85546875" style="83" customWidth="1"/>
    <col min="12298" max="12298" width="16.7109375" style="83" customWidth="1"/>
    <col min="12299" max="12299" width="16.5703125" style="83" customWidth="1"/>
    <col min="12300" max="12300" width="15.140625" style="83" customWidth="1"/>
    <col min="12301" max="12301" width="19.7109375" style="83" customWidth="1"/>
    <col min="12302" max="12302" width="19.5703125" style="83" customWidth="1"/>
    <col min="12303" max="12303" width="13.7109375" style="83" customWidth="1"/>
    <col min="12304" max="12304" width="34.42578125" style="83" customWidth="1"/>
    <col min="12305" max="12305" width="26.7109375" style="83" customWidth="1"/>
    <col min="12306" max="12306" width="15.28515625" style="83" customWidth="1"/>
    <col min="12307" max="12307" width="9.140625" style="83"/>
    <col min="12308" max="12308" width="18.28515625" style="83" customWidth="1"/>
    <col min="12309" max="12544" width="9.140625" style="83"/>
    <col min="12545" max="12545" width="4.28515625" style="83" customWidth="1"/>
    <col min="12546" max="12546" width="52.7109375" style="83" customWidth="1"/>
    <col min="12547" max="12547" width="9.28515625" style="83" customWidth="1"/>
    <col min="12548" max="12548" width="17.7109375" style="83" customWidth="1"/>
    <col min="12549" max="12549" width="65.140625" style="83" customWidth="1"/>
    <col min="12550" max="12551" width="10.140625" style="83" customWidth="1"/>
    <col min="12552" max="12552" width="11.7109375" style="83" customWidth="1"/>
    <col min="12553" max="12553" width="13.85546875" style="83" customWidth="1"/>
    <col min="12554" max="12554" width="16.7109375" style="83" customWidth="1"/>
    <col min="12555" max="12555" width="16.5703125" style="83" customWidth="1"/>
    <col min="12556" max="12556" width="15.140625" style="83" customWidth="1"/>
    <col min="12557" max="12557" width="19.7109375" style="83" customWidth="1"/>
    <col min="12558" max="12558" width="19.5703125" style="83" customWidth="1"/>
    <col min="12559" max="12559" width="13.7109375" style="83" customWidth="1"/>
    <col min="12560" max="12560" width="34.42578125" style="83" customWidth="1"/>
    <col min="12561" max="12561" width="26.7109375" style="83" customWidth="1"/>
    <col min="12562" max="12562" width="15.28515625" style="83" customWidth="1"/>
    <col min="12563" max="12563" width="9.140625" style="83"/>
    <col min="12564" max="12564" width="18.28515625" style="83" customWidth="1"/>
    <col min="12565" max="12800" width="9.140625" style="83"/>
    <col min="12801" max="12801" width="4.28515625" style="83" customWidth="1"/>
    <col min="12802" max="12802" width="52.7109375" style="83" customWidth="1"/>
    <col min="12803" max="12803" width="9.28515625" style="83" customWidth="1"/>
    <col min="12804" max="12804" width="17.7109375" style="83" customWidth="1"/>
    <col min="12805" max="12805" width="65.140625" style="83" customWidth="1"/>
    <col min="12806" max="12807" width="10.140625" style="83" customWidth="1"/>
    <col min="12808" max="12808" width="11.7109375" style="83" customWidth="1"/>
    <col min="12809" max="12809" width="13.85546875" style="83" customWidth="1"/>
    <col min="12810" max="12810" width="16.7109375" style="83" customWidth="1"/>
    <col min="12811" max="12811" width="16.5703125" style="83" customWidth="1"/>
    <col min="12812" max="12812" width="15.140625" style="83" customWidth="1"/>
    <col min="12813" max="12813" width="19.7109375" style="83" customWidth="1"/>
    <col min="12814" max="12814" width="19.5703125" style="83" customWidth="1"/>
    <col min="12815" max="12815" width="13.7109375" style="83" customWidth="1"/>
    <col min="12816" max="12816" width="34.42578125" style="83" customWidth="1"/>
    <col min="12817" max="12817" width="26.7109375" style="83" customWidth="1"/>
    <col min="12818" max="12818" width="15.28515625" style="83" customWidth="1"/>
    <col min="12819" max="12819" width="9.140625" style="83"/>
    <col min="12820" max="12820" width="18.28515625" style="83" customWidth="1"/>
    <col min="12821" max="13056" width="9.140625" style="83"/>
    <col min="13057" max="13057" width="4.28515625" style="83" customWidth="1"/>
    <col min="13058" max="13058" width="52.7109375" style="83" customWidth="1"/>
    <col min="13059" max="13059" width="9.28515625" style="83" customWidth="1"/>
    <col min="13060" max="13060" width="17.7109375" style="83" customWidth="1"/>
    <col min="13061" max="13061" width="65.140625" style="83" customWidth="1"/>
    <col min="13062" max="13063" width="10.140625" style="83" customWidth="1"/>
    <col min="13064" max="13064" width="11.7109375" style="83" customWidth="1"/>
    <col min="13065" max="13065" width="13.85546875" style="83" customWidth="1"/>
    <col min="13066" max="13066" width="16.7109375" style="83" customWidth="1"/>
    <col min="13067" max="13067" width="16.5703125" style="83" customWidth="1"/>
    <col min="13068" max="13068" width="15.140625" style="83" customWidth="1"/>
    <col min="13069" max="13069" width="19.7109375" style="83" customWidth="1"/>
    <col min="13070" max="13070" width="19.5703125" style="83" customWidth="1"/>
    <col min="13071" max="13071" width="13.7109375" style="83" customWidth="1"/>
    <col min="13072" max="13072" width="34.42578125" style="83" customWidth="1"/>
    <col min="13073" max="13073" width="26.7109375" style="83" customWidth="1"/>
    <col min="13074" max="13074" width="15.28515625" style="83" customWidth="1"/>
    <col min="13075" max="13075" width="9.140625" style="83"/>
    <col min="13076" max="13076" width="18.28515625" style="83" customWidth="1"/>
    <col min="13077" max="13312" width="9.140625" style="83"/>
    <col min="13313" max="13313" width="4.28515625" style="83" customWidth="1"/>
    <col min="13314" max="13314" width="52.7109375" style="83" customWidth="1"/>
    <col min="13315" max="13315" width="9.28515625" style="83" customWidth="1"/>
    <col min="13316" max="13316" width="17.7109375" style="83" customWidth="1"/>
    <col min="13317" max="13317" width="65.140625" style="83" customWidth="1"/>
    <col min="13318" max="13319" width="10.140625" style="83" customWidth="1"/>
    <col min="13320" max="13320" width="11.7109375" style="83" customWidth="1"/>
    <col min="13321" max="13321" width="13.85546875" style="83" customWidth="1"/>
    <col min="13322" max="13322" width="16.7109375" style="83" customWidth="1"/>
    <col min="13323" max="13323" width="16.5703125" style="83" customWidth="1"/>
    <col min="13324" max="13324" width="15.140625" style="83" customWidth="1"/>
    <col min="13325" max="13325" width="19.7109375" style="83" customWidth="1"/>
    <col min="13326" max="13326" width="19.5703125" style="83" customWidth="1"/>
    <col min="13327" max="13327" width="13.7109375" style="83" customWidth="1"/>
    <col min="13328" max="13328" width="34.42578125" style="83" customWidth="1"/>
    <col min="13329" max="13329" width="26.7109375" style="83" customWidth="1"/>
    <col min="13330" max="13330" width="15.28515625" style="83" customWidth="1"/>
    <col min="13331" max="13331" width="9.140625" style="83"/>
    <col min="13332" max="13332" width="18.28515625" style="83" customWidth="1"/>
    <col min="13333" max="13568" width="9.140625" style="83"/>
    <col min="13569" max="13569" width="4.28515625" style="83" customWidth="1"/>
    <col min="13570" max="13570" width="52.7109375" style="83" customWidth="1"/>
    <col min="13571" max="13571" width="9.28515625" style="83" customWidth="1"/>
    <col min="13572" max="13572" width="17.7109375" style="83" customWidth="1"/>
    <col min="13573" max="13573" width="65.140625" style="83" customWidth="1"/>
    <col min="13574" max="13575" width="10.140625" style="83" customWidth="1"/>
    <col min="13576" max="13576" width="11.7109375" style="83" customWidth="1"/>
    <col min="13577" max="13577" width="13.85546875" style="83" customWidth="1"/>
    <col min="13578" max="13578" width="16.7109375" style="83" customWidth="1"/>
    <col min="13579" max="13579" width="16.5703125" style="83" customWidth="1"/>
    <col min="13580" max="13580" width="15.140625" style="83" customWidth="1"/>
    <col min="13581" max="13581" width="19.7109375" style="83" customWidth="1"/>
    <col min="13582" max="13582" width="19.5703125" style="83" customWidth="1"/>
    <col min="13583" max="13583" width="13.7109375" style="83" customWidth="1"/>
    <col min="13584" max="13584" width="34.42578125" style="83" customWidth="1"/>
    <col min="13585" max="13585" width="26.7109375" style="83" customWidth="1"/>
    <col min="13586" max="13586" width="15.28515625" style="83" customWidth="1"/>
    <col min="13587" max="13587" width="9.140625" style="83"/>
    <col min="13588" max="13588" width="18.28515625" style="83" customWidth="1"/>
    <col min="13589" max="13824" width="9.140625" style="83"/>
    <col min="13825" max="13825" width="4.28515625" style="83" customWidth="1"/>
    <col min="13826" max="13826" width="52.7109375" style="83" customWidth="1"/>
    <col min="13827" max="13827" width="9.28515625" style="83" customWidth="1"/>
    <col min="13828" max="13828" width="17.7109375" style="83" customWidth="1"/>
    <col min="13829" max="13829" width="65.140625" style="83" customWidth="1"/>
    <col min="13830" max="13831" width="10.140625" style="83" customWidth="1"/>
    <col min="13832" max="13832" width="11.7109375" style="83" customWidth="1"/>
    <col min="13833" max="13833" width="13.85546875" style="83" customWidth="1"/>
    <col min="13834" max="13834" width="16.7109375" style="83" customWidth="1"/>
    <col min="13835" max="13835" width="16.5703125" style="83" customWidth="1"/>
    <col min="13836" max="13836" width="15.140625" style="83" customWidth="1"/>
    <col min="13837" max="13837" width="19.7109375" style="83" customWidth="1"/>
    <col min="13838" max="13838" width="19.5703125" style="83" customWidth="1"/>
    <col min="13839" max="13839" width="13.7109375" style="83" customWidth="1"/>
    <col min="13840" max="13840" width="34.42578125" style="83" customWidth="1"/>
    <col min="13841" max="13841" width="26.7109375" style="83" customWidth="1"/>
    <col min="13842" max="13842" width="15.28515625" style="83" customWidth="1"/>
    <col min="13843" max="13843" width="9.140625" style="83"/>
    <col min="13844" max="13844" width="18.28515625" style="83" customWidth="1"/>
    <col min="13845" max="14080" width="9.140625" style="83"/>
    <col min="14081" max="14081" width="4.28515625" style="83" customWidth="1"/>
    <col min="14082" max="14082" width="52.7109375" style="83" customWidth="1"/>
    <col min="14083" max="14083" width="9.28515625" style="83" customWidth="1"/>
    <col min="14084" max="14084" width="17.7109375" style="83" customWidth="1"/>
    <col min="14085" max="14085" width="65.140625" style="83" customWidth="1"/>
    <col min="14086" max="14087" width="10.140625" style="83" customWidth="1"/>
    <col min="14088" max="14088" width="11.7109375" style="83" customWidth="1"/>
    <col min="14089" max="14089" width="13.85546875" style="83" customWidth="1"/>
    <col min="14090" max="14090" width="16.7109375" style="83" customWidth="1"/>
    <col min="14091" max="14091" width="16.5703125" style="83" customWidth="1"/>
    <col min="14092" max="14092" width="15.140625" style="83" customWidth="1"/>
    <col min="14093" max="14093" width="19.7109375" style="83" customWidth="1"/>
    <col min="14094" max="14094" width="19.5703125" style="83" customWidth="1"/>
    <col min="14095" max="14095" width="13.7109375" style="83" customWidth="1"/>
    <col min="14096" max="14096" width="34.42578125" style="83" customWidth="1"/>
    <col min="14097" max="14097" width="26.7109375" style="83" customWidth="1"/>
    <col min="14098" max="14098" width="15.28515625" style="83" customWidth="1"/>
    <col min="14099" max="14099" width="9.140625" style="83"/>
    <col min="14100" max="14100" width="18.28515625" style="83" customWidth="1"/>
    <col min="14101" max="14336" width="9.140625" style="83"/>
    <col min="14337" max="14337" width="4.28515625" style="83" customWidth="1"/>
    <col min="14338" max="14338" width="52.7109375" style="83" customWidth="1"/>
    <col min="14339" max="14339" width="9.28515625" style="83" customWidth="1"/>
    <col min="14340" max="14340" width="17.7109375" style="83" customWidth="1"/>
    <col min="14341" max="14341" width="65.140625" style="83" customWidth="1"/>
    <col min="14342" max="14343" width="10.140625" style="83" customWidth="1"/>
    <col min="14344" max="14344" width="11.7109375" style="83" customWidth="1"/>
    <col min="14345" max="14345" width="13.85546875" style="83" customWidth="1"/>
    <col min="14346" max="14346" width="16.7109375" style="83" customWidth="1"/>
    <col min="14347" max="14347" width="16.5703125" style="83" customWidth="1"/>
    <col min="14348" max="14348" width="15.140625" style="83" customWidth="1"/>
    <col min="14349" max="14349" width="19.7109375" style="83" customWidth="1"/>
    <col min="14350" max="14350" width="19.5703125" style="83" customWidth="1"/>
    <col min="14351" max="14351" width="13.7109375" style="83" customWidth="1"/>
    <col min="14352" max="14352" width="34.42578125" style="83" customWidth="1"/>
    <col min="14353" max="14353" width="26.7109375" style="83" customWidth="1"/>
    <col min="14354" max="14354" width="15.28515625" style="83" customWidth="1"/>
    <col min="14355" max="14355" width="9.140625" style="83"/>
    <col min="14356" max="14356" width="18.28515625" style="83" customWidth="1"/>
    <col min="14357" max="14592" width="9.140625" style="83"/>
    <col min="14593" max="14593" width="4.28515625" style="83" customWidth="1"/>
    <col min="14594" max="14594" width="52.7109375" style="83" customWidth="1"/>
    <col min="14595" max="14595" width="9.28515625" style="83" customWidth="1"/>
    <col min="14596" max="14596" width="17.7109375" style="83" customWidth="1"/>
    <col min="14597" max="14597" width="65.140625" style="83" customWidth="1"/>
    <col min="14598" max="14599" width="10.140625" style="83" customWidth="1"/>
    <col min="14600" max="14600" width="11.7109375" style="83" customWidth="1"/>
    <col min="14601" max="14601" width="13.85546875" style="83" customWidth="1"/>
    <col min="14602" max="14602" width="16.7109375" style="83" customWidth="1"/>
    <col min="14603" max="14603" width="16.5703125" style="83" customWidth="1"/>
    <col min="14604" max="14604" width="15.140625" style="83" customWidth="1"/>
    <col min="14605" max="14605" width="19.7109375" style="83" customWidth="1"/>
    <col min="14606" max="14606" width="19.5703125" style="83" customWidth="1"/>
    <col min="14607" max="14607" width="13.7109375" style="83" customWidth="1"/>
    <col min="14608" max="14608" width="34.42578125" style="83" customWidth="1"/>
    <col min="14609" max="14609" width="26.7109375" style="83" customWidth="1"/>
    <col min="14610" max="14610" width="15.28515625" style="83" customWidth="1"/>
    <col min="14611" max="14611" width="9.140625" style="83"/>
    <col min="14612" max="14612" width="18.28515625" style="83" customWidth="1"/>
    <col min="14613" max="14848" width="9.140625" style="83"/>
    <col min="14849" max="14849" width="4.28515625" style="83" customWidth="1"/>
    <col min="14850" max="14850" width="52.7109375" style="83" customWidth="1"/>
    <col min="14851" max="14851" width="9.28515625" style="83" customWidth="1"/>
    <col min="14852" max="14852" width="17.7109375" style="83" customWidth="1"/>
    <col min="14853" max="14853" width="65.140625" style="83" customWidth="1"/>
    <col min="14854" max="14855" width="10.140625" style="83" customWidth="1"/>
    <col min="14856" max="14856" width="11.7109375" style="83" customWidth="1"/>
    <col min="14857" max="14857" width="13.85546875" style="83" customWidth="1"/>
    <col min="14858" max="14858" width="16.7109375" style="83" customWidth="1"/>
    <col min="14859" max="14859" width="16.5703125" style="83" customWidth="1"/>
    <col min="14860" max="14860" width="15.140625" style="83" customWidth="1"/>
    <col min="14861" max="14861" width="19.7109375" style="83" customWidth="1"/>
    <col min="14862" max="14862" width="19.5703125" style="83" customWidth="1"/>
    <col min="14863" max="14863" width="13.7109375" style="83" customWidth="1"/>
    <col min="14864" max="14864" width="34.42578125" style="83" customWidth="1"/>
    <col min="14865" max="14865" width="26.7109375" style="83" customWidth="1"/>
    <col min="14866" max="14866" width="15.28515625" style="83" customWidth="1"/>
    <col min="14867" max="14867" width="9.140625" style="83"/>
    <col min="14868" max="14868" width="18.28515625" style="83" customWidth="1"/>
    <col min="14869" max="15104" width="9.140625" style="83"/>
    <col min="15105" max="15105" width="4.28515625" style="83" customWidth="1"/>
    <col min="15106" max="15106" width="52.7109375" style="83" customWidth="1"/>
    <col min="15107" max="15107" width="9.28515625" style="83" customWidth="1"/>
    <col min="15108" max="15108" width="17.7109375" style="83" customWidth="1"/>
    <col min="15109" max="15109" width="65.140625" style="83" customWidth="1"/>
    <col min="15110" max="15111" width="10.140625" style="83" customWidth="1"/>
    <col min="15112" max="15112" width="11.7109375" style="83" customWidth="1"/>
    <col min="15113" max="15113" width="13.85546875" style="83" customWidth="1"/>
    <col min="15114" max="15114" width="16.7109375" style="83" customWidth="1"/>
    <col min="15115" max="15115" width="16.5703125" style="83" customWidth="1"/>
    <col min="15116" max="15116" width="15.140625" style="83" customWidth="1"/>
    <col min="15117" max="15117" width="19.7109375" style="83" customWidth="1"/>
    <col min="15118" max="15118" width="19.5703125" style="83" customWidth="1"/>
    <col min="15119" max="15119" width="13.7109375" style="83" customWidth="1"/>
    <col min="15120" max="15120" width="34.42578125" style="83" customWidth="1"/>
    <col min="15121" max="15121" width="26.7109375" style="83" customWidth="1"/>
    <col min="15122" max="15122" width="15.28515625" style="83" customWidth="1"/>
    <col min="15123" max="15123" width="9.140625" style="83"/>
    <col min="15124" max="15124" width="18.28515625" style="83" customWidth="1"/>
    <col min="15125" max="15360" width="9.140625" style="83"/>
    <col min="15361" max="15361" width="4.28515625" style="83" customWidth="1"/>
    <col min="15362" max="15362" width="52.7109375" style="83" customWidth="1"/>
    <col min="15363" max="15363" width="9.28515625" style="83" customWidth="1"/>
    <col min="15364" max="15364" width="17.7109375" style="83" customWidth="1"/>
    <col min="15365" max="15365" width="65.140625" style="83" customWidth="1"/>
    <col min="15366" max="15367" width="10.140625" style="83" customWidth="1"/>
    <col min="15368" max="15368" width="11.7109375" style="83" customWidth="1"/>
    <col min="15369" max="15369" width="13.85546875" style="83" customWidth="1"/>
    <col min="15370" max="15370" width="16.7109375" style="83" customWidth="1"/>
    <col min="15371" max="15371" width="16.5703125" style="83" customWidth="1"/>
    <col min="15372" max="15372" width="15.140625" style="83" customWidth="1"/>
    <col min="15373" max="15373" width="19.7109375" style="83" customWidth="1"/>
    <col min="15374" max="15374" width="19.5703125" style="83" customWidth="1"/>
    <col min="15375" max="15375" width="13.7109375" style="83" customWidth="1"/>
    <col min="15376" max="15376" width="34.42578125" style="83" customWidth="1"/>
    <col min="15377" max="15377" width="26.7109375" style="83" customWidth="1"/>
    <col min="15378" max="15378" width="15.28515625" style="83" customWidth="1"/>
    <col min="15379" max="15379" width="9.140625" style="83"/>
    <col min="15380" max="15380" width="18.28515625" style="83" customWidth="1"/>
    <col min="15381" max="15616" width="9.140625" style="83"/>
    <col min="15617" max="15617" width="4.28515625" style="83" customWidth="1"/>
    <col min="15618" max="15618" width="52.7109375" style="83" customWidth="1"/>
    <col min="15619" max="15619" width="9.28515625" style="83" customWidth="1"/>
    <col min="15620" max="15620" width="17.7109375" style="83" customWidth="1"/>
    <col min="15621" max="15621" width="65.140625" style="83" customWidth="1"/>
    <col min="15622" max="15623" width="10.140625" style="83" customWidth="1"/>
    <col min="15624" max="15624" width="11.7109375" style="83" customWidth="1"/>
    <col min="15625" max="15625" width="13.85546875" style="83" customWidth="1"/>
    <col min="15626" max="15626" width="16.7109375" style="83" customWidth="1"/>
    <col min="15627" max="15627" width="16.5703125" style="83" customWidth="1"/>
    <col min="15628" max="15628" width="15.140625" style="83" customWidth="1"/>
    <col min="15629" max="15629" width="19.7109375" style="83" customWidth="1"/>
    <col min="15630" max="15630" width="19.5703125" style="83" customWidth="1"/>
    <col min="15631" max="15631" width="13.7109375" style="83" customWidth="1"/>
    <col min="15632" max="15632" width="34.42578125" style="83" customWidth="1"/>
    <col min="15633" max="15633" width="26.7109375" style="83" customWidth="1"/>
    <col min="15634" max="15634" width="15.28515625" style="83" customWidth="1"/>
    <col min="15635" max="15635" width="9.140625" style="83"/>
    <col min="15636" max="15636" width="18.28515625" style="83" customWidth="1"/>
    <col min="15637" max="15872" width="9.140625" style="83"/>
    <col min="15873" max="15873" width="4.28515625" style="83" customWidth="1"/>
    <col min="15874" max="15874" width="52.7109375" style="83" customWidth="1"/>
    <col min="15875" max="15875" width="9.28515625" style="83" customWidth="1"/>
    <col min="15876" max="15876" width="17.7109375" style="83" customWidth="1"/>
    <col min="15877" max="15877" width="65.140625" style="83" customWidth="1"/>
    <col min="15878" max="15879" width="10.140625" style="83" customWidth="1"/>
    <col min="15880" max="15880" width="11.7109375" style="83" customWidth="1"/>
    <col min="15881" max="15881" width="13.85546875" style="83" customWidth="1"/>
    <col min="15882" max="15882" width="16.7109375" style="83" customWidth="1"/>
    <col min="15883" max="15883" width="16.5703125" style="83" customWidth="1"/>
    <col min="15884" max="15884" width="15.140625" style="83" customWidth="1"/>
    <col min="15885" max="15885" width="19.7109375" style="83" customWidth="1"/>
    <col min="15886" max="15886" width="19.5703125" style="83" customWidth="1"/>
    <col min="15887" max="15887" width="13.7109375" style="83" customWidth="1"/>
    <col min="15888" max="15888" width="34.42578125" style="83" customWidth="1"/>
    <col min="15889" max="15889" width="26.7109375" style="83" customWidth="1"/>
    <col min="15890" max="15890" width="15.28515625" style="83" customWidth="1"/>
    <col min="15891" max="15891" width="9.140625" style="83"/>
    <col min="15892" max="15892" width="18.28515625" style="83" customWidth="1"/>
    <col min="15893" max="16128" width="9.140625" style="83"/>
    <col min="16129" max="16129" width="4.28515625" style="83" customWidth="1"/>
    <col min="16130" max="16130" width="52.7109375" style="83" customWidth="1"/>
    <col min="16131" max="16131" width="9.28515625" style="83" customWidth="1"/>
    <col min="16132" max="16132" width="17.7109375" style="83" customWidth="1"/>
    <col min="16133" max="16133" width="65.140625" style="83" customWidth="1"/>
    <col min="16134" max="16135" width="10.140625" style="83" customWidth="1"/>
    <col min="16136" max="16136" width="11.7109375" style="83" customWidth="1"/>
    <col min="16137" max="16137" width="13.85546875" style="83" customWidth="1"/>
    <col min="16138" max="16138" width="16.7109375" style="83" customWidth="1"/>
    <col min="16139" max="16139" width="16.5703125" style="83" customWidth="1"/>
    <col min="16140" max="16140" width="15.140625" style="83" customWidth="1"/>
    <col min="16141" max="16141" width="19.7109375" style="83" customWidth="1"/>
    <col min="16142" max="16142" width="19.5703125" style="83" customWidth="1"/>
    <col min="16143" max="16143" width="13.7109375" style="83" customWidth="1"/>
    <col min="16144" max="16144" width="34.42578125" style="83" customWidth="1"/>
    <col min="16145" max="16145" width="26.7109375" style="83" customWidth="1"/>
    <col min="16146" max="16146" width="15.28515625" style="83" customWidth="1"/>
    <col min="16147" max="16147" width="9.140625" style="83"/>
    <col min="16148" max="16148" width="18.28515625" style="83" customWidth="1"/>
    <col min="16149" max="16384" width="9.140625" style="83"/>
  </cols>
  <sheetData>
    <row r="1" spans="1:20" ht="23.25" customHeight="1" x14ac:dyDescent="0.25">
      <c r="A1" s="127"/>
      <c r="B1" s="170" t="s">
        <v>592</v>
      </c>
      <c r="C1" s="131"/>
      <c r="D1" s="131"/>
      <c r="E1" s="126"/>
      <c r="F1" s="126"/>
      <c r="G1" s="130"/>
      <c r="H1" s="130"/>
      <c r="I1" s="128"/>
      <c r="J1" s="128"/>
      <c r="K1" s="129"/>
      <c r="L1" s="128"/>
      <c r="M1" s="126"/>
      <c r="N1" s="127"/>
      <c r="O1" s="127"/>
      <c r="P1" s="126"/>
      <c r="Q1" s="126"/>
      <c r="R1" s="125"/>
    </row>
    <row r="2" spans="1:20" ht="24.75" customHeight="1" x14ac:dyDescent="0.25">
      <c r="A2" s="124"/>
      <c r="B2" s="170"/>
      <c r="C2" s="124"/>
      <c r="D2" s="169" t="s">
        <v>591</v>
      </c>
      <c r="E2" s="169"/>
      <c r="F2" s="169"/>
      <c r="G2" s="169"/>
      <c r="H2" s="169"/>
      <c r="I2" s="169"/>
      <c r="J2" s="169"/>
      <c r="K2" s="169"/>
      <c r="L2" s="124"/>
      <c r="M2" s="124"/>
      <c r="N2" s="124"/>
      <c r="O2" s="124"/>
      <c r="P2" s="124"/>
      <c r="Q2" s="124"/>
      <c r="R2" s="124"/>
    </row>
    <row r="3" spans="1:20" ht="18.75" x14ac:dyDescent="0.25">
      <c r="A3" s="123"/>
      <c r="B3" s="123"/>
      <c r="C3" s="9"/>
      <c r="D3" s="124"/>
      <c r="E3" s="123"/>
      <c r="F3" s="119"/>
      <c r="G3" s="122"/>
      <c r="H3" s="122"/>
      <c r="I3" s="120"/>
      <c r="J3" s="120"/>
      <c r="K3" s="121"/>
      <c r="L3" s="120"/>
      <c r="M3" s="119"/>
      <c r="N3" s="119"/>
      <c r="O3" s="119"/>
      <c r="P3" s="119"/>
      <c r="Q3" s="119"/>
      <c r="R3" s="118"/>
    </row>
    <row r="4" spans="1:20" s="111" customFormat="1" ht="36.75" customHeight="1" x14ac:dyDescent="0.25">
      <c r="A4" s="117" t="s">
        <v>0</v>
      </c>
      <c r="B4" s="117" t="s">
        <v>1</v>
      </c>
      <c r="C4" s="115" t="s">
        <v>2</v>
      </c>
      <c r="D4" s="113" t="s">
        <v>3</v>
      </c>
      <c r="E4" s="113" t="s">
        <v>4</v>
      </c>
      <c r="F4" s="113" t="s">
        <v>5</v>
      </c>
      <c r="G4" s="116" t="s">
        <v>6</v>
      </c>
      <c r="H4" s="116" t="s">
        <v>7</v>
      </c>
      <c r="I4" s="114" t="s">
        <v>8</v>
      </c>
      <c r="J4" s="114" t="s">
        <v>9</v>
      </c>
      <c r="K4" s="115" t="s">
        <v>10</v>
      </c>
      <c r="L4" s="114" t="s">
        <v>11</v>
      </c>
      <c r="M4" s="113" t="s">
        <v>12</v>
      </c>
      <c r="N4" s="113" t="s">
        <v>13</v>
      </c>
      <c r="O4" s="113" t="s">
        <v>14</v>
      </c>
      <c r="P4" s="113" t="s">
        <v>15</v>
      </c>
      <c r="Q4" s="113" t="s">
        <v>16</v>
      </c>
      <c r="R4" s="113" t="s">
        <v>17</v>
      </c>
      <c r="T4" s="112"/>
    </row>
    <row r="5" spans="1:20" s="90" customFormat="1" ht="24" customHeight="1" x14ac:dyDescent="0.25">
      <c r="A5" s="10" t="s">
        <v>18</v>
      </c>
      <c r="B5" s="11" t="s">
        <v>19</v>
      </c>
      <c r="C5" s="12"/>
      <c r="D5" s="13"/>
      <c r="E5" s="14"/>
      <c r="F5" s="13"/>
      <c r="G5" s="15"/>
      <c r="H5" s="15"/>
      <c r="I5" s="16"/>
      <c r="J5" s="16"/>
      <c r="K5" s="12"/>
      <c r="L5" s="16"/>
      <c r="M5" s="13"/>
      <c r="N5" s="13"/>
      <c r="O5" s="13"/>
      <c r="P5" s="13"/>
      <c r="Q5" s="13"/>
      <c r="R5" s="17"/>
    </row>
    <row r="6" spans="1:20" s="90" customFormat="1" ht="24" customHeight="1" x14ac:dyDescent="0.25">
      <c r="A6" s="19">
        <v>1</v>
      </c>
      <c r="B6" s="110" t="s">
        <v>590</v>
      </c>
      <c r="C6" s="9" t="s">
        <v>589</v>
      </c>
      <c r="D6" s="19" t="s">
        <v>21</v>
      </c>
      <c r="E6" s="109" t="s">
        <v>588</v>
      </c>
      <c r="F6" s="19">
        <v>2019</v>
      </c>
      <c r="G6" s="22">
        <v>43908</v>
      </c>
      <c r="H6" s="22" t="s">
        <v>44</v>
      </c>
      <c r="I6" s="23">
        <v>16990000</v>
      </c>
      <c r="J6" s="23" t="s">
        <v>24</v>
      </c>
      <c r="K6" s="9" t="s">
        <v>587</v>
      </c>
      <c r="L6" s="23">
        <v>2699000</v>
      </c>
      <c r="M6" s="19" t="s">
        <v>509</v>
      </c>
      <c r="N6" s="32" t="s">
        <v>586</v>
      </c>
      <c r="O6" s="32" t="s">
        <v>27</v>
      </c>
      <c r="P6" s="33"/>
      <c r="Q6" s="33" t="s">
        <v>62</v>
      </c>
      <c r="R6" s="34"/>
    </row>
    <row r="7" spans="1:20" s="90" customFormat="1" ht="24" customHeight="1" x14ac:dyDescent="0.25">
      <c r="A7" s="19">
        <v>2</v>
      </c>
      <c r="B7" s="110" t="s">
        <v>76</v>
      </c>
      <c r="C7" s="9" t="s">
        <v>585</v>
      </c>
      <c r="D7" s="19" t="s">
        <v>21</v>
      </c>
      <c r="E7" s="109" t="s">
        <v>77</v>
      </c>
      <c r="F7" s="19">
        <v>2019</v>
      </c>
      <c r="G7" s="22">
        <v>43967</v>
      </c>
      <c r="H7" s="22" t="s">
        <v>44</v>
      </c>
      <c r="I7" s="23">
        <v>17799000</v>
      </c>
      <c r="J7" s="23" t="s">
        <v>24</v>
      </c>
      <c r="K7" s="9"/>
      <c r="L7" s="23"/>
      <c r="M7" s="19" t="s">
        <v>434</v>
      </c>
      <c r="N7" s="32" t="s">
        <v>78</v>
      </c>
      <c r="O7" s="32" t="s">
        <v>27</v>
      </c>
      <c r="P7" s="33"/>
      <c r="Q7" s="33" t="s">
        <v>39</v>
      </c>
      <c r="R7" s="34"/>
    </row>
    <row r="8" spans="1:20" s="90" customFormat="1" ht="24" customHeight="1" x14ac:dyDescent="0.25">
      <c r="A8" s="19">
        <v>3</v>
      </c>
      <c r="B8" s="25" t="s">
        <v>584</v>
      </c>
      <c r="C8" s="9" t="s">
        <v>583</v>
      </c>
      <c r="D8" s="26" t="s">
        <v>21</v>
      </c>
      <c r="E8" s="27" t="s">
        <v>582</v>
      </c>
      <c r="F8" s="26">
        <v>2020</v>
      </c>
      <c r="G8" s="28">
        <v>44167</v>
      </c>
      <c r="H8" s="28" t="s">
        <v>23</v>
      </c>
      <c r="I8" s="29">
        <v>24989000</v>
      </c>
      <c r="J8" s="29" t="s">
        <v>24</v>
      </c>
      <c r="K8" s="24"/>
      <c r="L8" s="29"/>
      <c r="M8" s="26" t="s">
        <v>313</v>
      </c>
      <c r="N8" s="35" t="s">
        <v>581</v>
      </c>
      <c r="O8" s="35" t="s">
        <v>27</v>
      </c>
      <c r="P8" s="30"/>
      <c r="Q8" s="33" t="s">
        <v>39</v>
      </c>
      <c r="R8" s="38"/>
    </row>
    <row r="9" spans="1:20" s="90" customFormat="1" ht="24" customHeight="1" x14ac:dyDescent="0.25">
      <c r="A9" s="19">
        <v>4</v>
      </c>
      <c r="B9" s="25" t="s">
        <v>91</v>
      </c>
      <c r="C9" s="24" t="s">
        <v>580</v>
      </c>
      <c r="D9" s="26" t="s">
        <v>21</v>
      </c>
      <c r="E9" s="27" t="s">
        <v>92</v>
      </c>
      <c r="F9" s="26">
        <v>2021</v>
      </c>
      <c r="G9" s="28">
        <v>44517</v>
      </c>
      <c r="H9" s="28" t="s">
        <v>23</v>
      </c>
      <c r="I9" s="29">
        <v>17590000</v>
      </c>
      <c r="J9" s="29" t="s">
        <v>24</v>
      </c>
      <c r="K9" s="24"/>
      <c r="L9" s="29"/>
      <c r="M9" s="19" t="s">
        <v>435</v>
      </c>
      <c r="N9" s="35" t="s">
        <v>579</v>
      </c>
      <c r="O9" s="35" t="s">
        <v>27</v>
      </c>
      <c r="P9" s="30"/>
      <c r="Q9" s="33" t="s">
        <v>49</v>
      </c>
      <c r="R9" s="38"/>
    </row>
    <row r="10" spans="1:20" s="90" customFormat="1" ht="24" customHeight="1" x14ac:dyDescent="0.25">
      <c r="A10" s="10" t="s">
        <v>102</v>
      </c>
      <c r="B10" s="11" t="s">
        <v>103</v>
      </c>
      <c r="C10" s="12"/>
      <c r="D10" s="13"/>
      <c r="E10" s="14"/>
      <c r="F10" s="13"/>
      <c r="G10" s="15"/>
      <c r="H10" s="15"/>
      <c r="I10" s="16"/>
      <c r="J10" s="16"/>
      <c r="K10" s="12"/>
      <c r="L10" s="16"/>
      <c r="M10" s="13"/>
      <c r="N10" s="39"/>
      <c r="O10" s="39"/>
      <c r="P10" s="40"/>
      <c r="Q10" s="40"/>
      <c r="R10" s="41"/>
    </row>
    <row r="11" spans="1:20" s="90" customFormat="1" ht="24" customHeight="1" x14ac:dyDescent="0.25">
      <c r="A11" s="19">
        <v>1</v>
      </c>
      <c r="B11" s="20" t="s">
        <v>109</v>
      </c>
      <c r="C11" s="9" t="s">
        <v>578</v>
      </c>
      <c r="D11" s="19" t="s">
        <v>104</v>
      </c>
      <c r="E11" s="42" t="s">
        <v>577</v>
      </c>
      <c r="F11" s="19">
        <v>2017</v>
      </c>
      <c r="G11" s="22">
        <v>43084</v>
      </c>
      <c r="H11" s="22" t="s">
        <v>23</v>
      </c>
      <c r="I11" s="23">
        <v>16540000</v>
      </c>
      <c r="J11" s="23" t="s">
        <v>24</v>
      </c>
      <c r="K11" s="9" t="s">
        <v>576</v>
      </c>
      <c r="L11" s="23">
        <f>1600000 + 499000 + 1149000</f>
        <v>3248000</v>
      </c>
      <c r="M11" s="26" t="s">
        <v>595</v>
      </c>
      <c r="N11" s="32" t="s">
        <v>575</v>
      </c>
      <c r="O11" s="32" t="s">
        <v>27</v>
      </c>
      <c r="P11" s="33" t="s">
        <v>574</v>
      </c>
      <c r="Q11" s="33" t="s">
        <v>69</v>
      </c>
      <c r="R11" s="34"/>
    </row>
    <row r="12" spans="1:20" s="90" customFormat="1" ht="24" customHeight="1" x14ac:dyDescent="0.25">
      <c r="A12" s="19">
        <v>2</v>
      </c>
      <c r="B12" s="20" t="s">
        <v>114</v>
      </c>
      <c r="C12" s="9" t="s">
        <v>573</v>
      </c>
      <c r="D12" s="19" t="s">
        <v>104</v>
      </c>
      <c r="E12" s="42" t="s">
        <v>572</v>
      </c>
      <c r="F12" s="19">
        <v>2018</v>
      </c>
      <c r="G12" s="22">
        <v>43256</v>
      </c>
      <c r="H12" s="22" t="s">
        <v>23</v>
      </c>
      <c r="I12" s="23">
        <v>14970000</v>
      </c>
      <c r="J12" s="23" t="s">
        <v>24</v>
      </c>
      <c r="K12" s="9" t="s">
        <v>571</v>
      </c>
      <c r="L12" s="23">
        <f>499000 + 1499000 + 1149000</f>
        <v>3147000</v>
      </c>
      <c r="M12" s="26" t="s">
        <v>595</v>
      </c>
      <c r="N12" s="32" t="s">
        <v>570</v>
      </c>
      <c r="O12" s="32" t="s">
        <v>27</v>
      </c>
      <c r="P12" s="33"/>
      <c r="Q12" s="33" t="s">
        <v>115</v>
      </c>
      <c r="R12" s="34" t="s">
        <v>569</v>
      </c>
    </row>
    <row r="13" spans="1:20" s="90" customFormat="1" ht="24" customHeight="1" x14ac:dyDescent="0.25">
      <c r="A13" s="19">
        <v>3</v>
      </c>
      <c r="B13" s="20" t="s">
        <v>114</v>
      </c>
      <c r="C13" s="9" t="s">
        <v>568</v>
      </c>
      <c r="D13" s="19" t="s">
        <v>104</v>
      </c>
      <c r="E13" s="42" t="s">
        <v>116</v>
      </c>
      <c r="F13" s="19">
        <v>2018</v>
      </c>
      <c r="G13" s="22">
        <v>43257</v>
      </c>
      <c r="H13" s="22" t="s">
        <v>23</v>
      </c>
      <c r="I13" s="23">
        <v>14970001</v>
      </c>
      <c r="J13" s="23" t="s">
        <v>24</v>
      </c>
      <c r="K13" s="9"/>
      <c r="L13" s="23"/>
      <c r="M13" s="26" t="s">
        <v>595</v>
      </c>
      <c r="N13" s="32" t="s">
        <v>567</v>
      </c>
      <c r="O13" s="32" t="s">
        <v>27</v>
      </c>
      <c r="P13" s="33"/>
      <c r="Q13" s="33" t="s">
        <v>115</v>
      </c>
      <c r="R13" s="34"/>
    </row>
    <row r="14" spans="1:20" s="90" customFormat="1" ht="24" customHeight="1" x14ac:dyDescent="0.25">
      <c r="A14" s="19">
        <v>4</v>
      </c>
      <c r="B14" s="20" t="s">
        <v>114</v>
      </c>
      <c r="C14" s="9" t="s">
        <v>566</v>
      </c>
      <c r="D14" s="19" t="s">
        <v>104</v>
      </c>
      <c r="E14" s="42" t="s">
        <v>565</v>
      </c>
      <c r="F14" s="19">
        <v>2018</v>
      </c>
      <c r="G14" s="22">
        <v>43320</v>
      </c>
      <c r="H14" s="22" t="s">
        <v>23</v>
      </c>
      <c r="I14" s="23">
        <v>16470000</v>
      </c>
      <c r="J14" s="23" t="s">
        <v>24</v>
      </c>
      <c r="K14" s="9" t="s">
        <v>564</v>
      </c>
      <c r="L14" s="23">
        <f>1149000</f>
        <v>1149000</v>
      </c>
      <c r="M14" s="26" t="s">
        <v>595</v>
      </c>
      <c r="N14" s="32" t="s">
        <v>563</v>
      </c>
      <c r="O14" s="32" t="s">
        <v>27</v>
      </c>
      <c r="P14" s="33"/>
      <c r="Q14" s="33" t="s">
        <v>115</v>
      </c>
      <c r="R14" s="34"/>
    </row>
    <row r="15" spans="1:20" s="90" customFormat="1" ht="24" customHeight="1" x14ac:dyDescent="0.25">
      <c r="A15" s="19">
        <v>5</v>
      </c>
      <c r="B15" s="20" t="s">
        <v>562</v>
      </c>
      <c r="C15" s="9" t="s">
        <v>561</v>
      </c>
      <c r="D15" s="19" t="s">
        <v>104</v>
      </c>
      <c r="E15" s="42" t="s">
        <v>560</v>
      </c>
      <c r="F15" s="19">
        <v>2018</v>
      </c>
      <c r="G15" s="22">
        <v>43550</v>
      </c>
      <c r="H15" s="22" t="s">
        <v>117</v>
      </c>
      <c r="I15" s="23">
        <v>64180000</v>
      </c>
      <c r="J15" s="23" t="s">
        <v>24</v>
      </c>
      <c r="K15" s="24" t="s">
        <v>559</v>
      </c>
      <c r="L15" s="29">
        <f>3899000+2999000</f>
        <v>6898000</v>
      </c>
      <c r="M15" s="26" t="s">
        <v>595</v>
      </c>
      <c r="N15" s="32" t="s">
        <v>558</v>
      </c>
      <c r="O15" s="32" t="s">
        <v>27</v>
      </c>
      <c r="P15" s="33"/>
      <c r="Q15" s="33" t="s">
        <v>115</v>
      </c>
      <c r="R15" s="34"/>
    </row>
    <row r="16" spans="1:20" s="93" customFormat="1" ht="24" customHeight="1" x14ac:dyDescent="0.25">
      <c r="A16" s="19">
        <v>6</v>
      </c>
      <c r="B16" s="36" t="s">
        <v>118</v>
      </c>
      <c r="C16" s="9" t="s">
        <v>557</v>
      </c>
      <c r="D16" s="26" t="s">
        <v>104</v>
      </c>
      <c r="E16" s="43" t="s">
        <v>518</v>
      </c>
      <c r="F16" s="26">
        <v>2019</v>
      </c>
      <c r="G16" s="28">
        <v>43917</v>
      </c>
      <c r="H16" s="28" t="s">
        <v>105</v>
      </c>
      <c r="I16" s="29">
        <f>9540000+2694000</f>
        <v>12234000</v>
      </c>
      <c r="J16" s="29" t="s">
        <v>24</v>
      </c>
      <c r="K16" s="24" t="s">
        <v>556</v>
      </c>
      <c r="L16" s="29">
        <v>899000</v>
      </c>
      <c r="M16" s="26" t="s">
        <v>595</v>
      </c>
      <c r="N16" s="35" t="s">
        <v>555</v>
      </c>
      <c r="O16" s="35" t="s">
        <v>27</v>
      </c>
      <c r="P16" s="30"/>
      <c r="Q16" s="30" t="s">
        <v>115</v>
      </c>
      <c r="R16" s="38"/>
    </row>
    <row r="17" spans="1:18" s="93" customFormat="1" ht="24" customHeight="1" x14ac:dyDescent="0.25">
      <c r="A17" s="19">
        <v>7</v>
      </c>
      <c r="B17" s="36" t="s">
        <v>554</v>
      </c>
      <c r="C17" s="24" t="s">
        <v>553</v>
      </c>
      <c r="D17" s="26" t="s">
        <v>104</v>
      </c>
      <c r="E17" s="43" t="s">
        <v>552</v>
      </c>
      <c r="F17" s="26">
        <v>2020</v>
      </c>
      <c r="G17" s="28">
        <v>44004</v>
      </c>
      <c r="H17" s="28" t="s">
        <v>117</v>
      </c>
      <c r="I17" s="29">
        <v>55238000</v>
      </c>
      <c r="J17" s="29" t="s">
        <v>24</v>
      </c>
      <c r="K17" s="24" t="s">
        <v>551</v>
      </c>
      <c r="L17" s="29">
        <f>3999000</f>
        <v>3999000</v>
      </c>
      <c r="M17" s="26" t="s">
        <v>595</v>
      </c>
      <c r="N17" s="35" t="s">
        <v>550</v>
      </c>
      <c r="O17" s="35" t="s">
        <v>27</v>
      </c>
      <c r="P17" s="30"/>
      <c r="Q17" s="30" t="s">
        <v>97</v>
      </c>
      <c r="R17" s="38"/>
    </row>
    <row r="18" spans="1:18" s="93" customFormat="1" ht="24" customHeight="1" x14ac:dyDescent="0.25">
      <c r="A18" s="19">
        <v>8</v>
      </c>
      <c r="B18" s="36" t="s">
        <v>549</v>
      </c>
      <c r="C18" s="24" t="s">
        <v>548</v>
      </c>
      <c r="D18" s="108" t="s">
        <v>104</v>
      </c>
      <c r="E18" s="43" t="s">
        <v>547</v>
      </c>
      <c r="F18" s="108">
        <v>2021</v>
      </c>
      <c r="G18" s="107">
        <v>44375</v>
      </c>
      <c r="H18" s="107" t="s">
        <v>117</v>
      </c>
      <c r="I18" s="105">
        <v>103273000</v>
      </c>
      <c r="J18" s="105" t="s">
        <v>24</v>
      </c>
      <c r="K18" s="106"/>
      <c r="L18" s="105"/>
      <c r="M18" s="26" t="s">
        <v>595</v>
      </c>
      <c r="N18" s="104" t="s">
        <v>546</v>
      </c>
      <c r="O18" s="104" t="s">
        <v>27</v>
      </c>
      <c r="P18" s="103"/>
      <c r="Q18" s="103" t="s">
        <v>97</v>
      </c>
      <c r="R18" s="102"/>
    </row>
    <row r="19" spans="1:18" s="93" customFormat="1" ht="24" customHeight="1" x14ac:dyDescent="0.25">
      <c r="A19" s="19">
        <v>9</v>
      </c>
      <c r="B19" s="36" t="s">
        <v>545</v>
      </c>
      <c r="C19" s="24" t="s">
        <v>544</v>
      </c>
      <c r="D19" s="26" t="s">
        <v>104</v>
      </c>
      <c r="E19" s="43" t="s">
        <v>543</v>
      </c>
      <c r="F19" s="26">
        <v>2021</v>
      </c>
      <c r="G19" s="28">
        <v>44348</v>
      </c>
      <c r="H19" s="28" t="s">
        <v>117</v>
      </c>
      <c r="I19" s="29">
        <v>33631000</v>
      </c>
      <c r="J19" s="29" t="s">
        <v>24</v>
      </c>
      <c r="K19" s="24"/>
      <c r="L19" s="29"/>
      <c r="M19" s="26" t="s">
        <v>595</v>
      </c>
      <c r="N19" s="35" t="s">
        <v>542</v>
      </c>
      <c r="O19" s="35" t="s">
        <v>27</v>
      </c>
      <c r="P19" s="30" t="s">
        <v>541</v>
      </c>
      <c r="Q19" s="30" t="s">
        <v>97</v>
      </c>
      <c r="R19" s="38"/>
    </row>
    <row r="20" spans="1:18" s="93" customFormat="1" ht="24" customHeight="1" x14ac:dyDescent="0.25">
      <c r="A20" s="19">
        <v>10</v>
      </c>
      <c r="B20" s="36" t="s">
        <v>540</v>
      </c>
      <c r="C20" s="24" t="s">
        <v>539</v>
      </c>
      <c r="D20" s="26" t="s">
        <v>104</v>
      </c>
      <c r="E20" s="43" t="s">
        <v>538</v>
      </c>
      <c r="F20" s="26">
        <v>2022</v>
      </c>
      <c r="G20" s="28">
        <v>44836</v>
      </c>
      <c r="H20" s="28" t="s">
        <v>117</v>
      </c>
      <c r="I20" s="29">
        <v>41387000</v>
      </c>
      <c r="J20" s="29" t="s">
        <v>24</v>
      </c>
      <c r="K20" s="24"/>
      <c r="L20" s="29"/>
      <c r="M20" s="26" t="s">
        <v>595</v>
      </c>
      <c r="N20" s="35" t="s">
        <v>537</v>
      </c>
      <c r="O20" s="35" t="s">
        <v>27</v>
      </c>
      <c r="P20" s="30"/>
      <c r="Q20" s="30" t="s">
        <v>97</v>
      </c>
      <c r="R20" s="38"/>
    </row>
    <row r="21" spans="1:18" s="93" customFormat="1" ht="24" customHeight="1" x14ac:dyDescent="0.25">
      <c r="A21" s="19">
        <v>11</v>
      </c>
      <c r="B21" s="36" t="s">
        <v>536</v>
      </c>
      <c r="C21" s="24" t="s">
        <v>535</v>
      </c>
      <c r="D21" s="26" t="s">
        <v>104</v>
      </c>
      <c r="E21" s="42" t="s">
        <v>534</v>
      </c>
      <c r="F21" s="26">
        <v>2022</v>
      </c>
      <c r="G21" s="28">
        <v>44824</v>
      </c>
      <c r="H21" s="28" t="s">
        <v>23</v>
      </c>
      <c r="I21" s="29">
        <v>16116000</v>
      </c>
      <c r="J21" s="29" t="s">
        <v>24</v>
      </c>
      <c r="K21" s="24"/>
      <c r="L21" s="29">
        <v>16256000</v>
      </c>
      <c r="M21" s="26" t="s">
        <v>595</v>
      </c>
      <c r="N21" s="35" t="s">
        <v>533</v>
      </c>
      <c r="O21" s="35" t="s">
        <v>27</v>
      </c>
      <c r="P21" s="30"/>
      <c r="Q21" s="30" t="s">
        <v>97</v>
      </c>
      <c r="R21" s="38"/>
    </row>
    <row r="22" spans="1:18" s="93" customFormat="1" ht="24" customHeight="1" x14ac:dyDescent="0.25">
      <c r="A22" s="19">
        <v>12</v>
      </c>
      <c r="B22" s="36" t="s">
        <v>123</v>
      </c>
      <c r="C22" s="9" t="s">
        <v>532</v>
      </c>
      <c r="D22" s="26" t="s">
        <v>104</v>
      </c>
      <c r="E22" s="43" t="s">
        <v>531</v>
      </c>
      <c r="F22" s="26">
        <v>2018</v>
      </c>
      <c r="G22" s="28">
        <v>43320</v>
      </c>
      <c r="H22" s="28" t="s">
        <v>23</v>
      </c>
      <c r="I22" s="29">
        <v>10030000</v>
      </c>
      <c r="J22" s="29" t="s">
        <v>24</v>
      </c>
      <c r="K22" s="24" t="s">
        <v>34</v>
      </c>
      <c r="L22" s="29">
        <v>2438000</v>
      </c>
      <c r="M22" s="19" t="s">
        <v>508</v>
      </c>
      <c r="N22" s="35" t="s">
        <v>530</v>
      </c>
      <c r="O22" s="35" t="s">
        <v>27</v>
      </c>
      <c r="P22" s="30"/>
      <c r="Q22" s="30" t="s">
        <v>115</v>
      </c>
      <c r="R22" s="38"/>
    </row>
    <row r="23" spans="1:18" s="93" customFormat="1" ht="24" customHeight="1" x14ac:dyDescent="0.25">
      <c r="A23" s="19">
        <v>13</v>
      </c>
      <c r="B23" s="36" t="s">
        <v>124</v>
      </c>
      <c r="C23" s="9" t="s">
        <v>529</v>
      </c>
      <c r="D23" s="26" t="s">
        <v>104</v>
      </c>
      <c r="E23" s="43" t="s">
        <v>528</v>
      </c>
      <c r="F23" s="26">
        <v>2018</v>
      </c>
      <c r="G23" s="28">
        <v>43780</v>
      </c>
      <c r="H23" s="28" t="s">
        <v>23</v>
      </c>
      <c r="I23" s="29">
        <f>7690000+2795000</f>
        <v>10485000</v>
      </c>
      <c r="J23" s="29" t="s">
        <v>24</v>
      </c>
      <c r="K23" s="24"/>
      <c r="L23" s="29"/>
      <c r="M23" s="19" t="s">
        <v>508</v>
      </c>
      <c r="N23" s="35" t="s">
        <v>527</v>
      </c>
      <c r="O23" s="35" t="s">
        <v>27</v>
      </c>
      <c r="P23" s="30" t="s">
        <v>526</v>
      </c>
      <c r="Q23" s="30" t="s">
        <v>115</v>
      </c>
      <c r="R23" s="38"/>
    </row>
    <row r="24" spans="1:18" s="93" customFormat="1" ht="24" customHeight="1" x14ac:dyDescent="0.25">
      <c r="A24" s="19">
        <v>14</v>
      </c>
      <c r="B24" s="36" t="s">
        <v>118</v>
      </c>
      <c r="C24" s="9" t="s">
        <v>525</v>
      </c>
      <c r="D24" s="26" t="s">
        <v>104</v>
      </c>
      <c r="E24" s="43" t="s">
        <v>518</v>
      </c>
      <c r="F24" s="26">
        <v>2019</v>
      </c>
      <c r="G24" s="28">
        <v>43908</v>
      </c>
      <c r="H24" s="28" t="s">
        <v>105</v>
      </c>
      <c r="I24" s="29">
        <f>9100000+2600000</f>
        <v>11700000</v>
      </c>
      <c r="J24" s="29" t="s">
        <v>24</v>
      </c>
      <c r="K24" s="24"/>
      <c r="L24" s="29"/>
      <c r="M24" s="19" t="s">
        <v>596</v>
      </c>
      <c r="N24" s="35" t="s">
        <v>524</v>
      </c>
      <c r="O24" s="35" t="s">
        <v>27</v>
      </c>
      <c r="P24" s="30"/>
      <c r="Q24" s="30" t="s">
        <v>62</v>
      </c>
      <c r="R24" s="38"/>
    </row>
    <row r="25" spans="1:18" s="93" customFormat="1" ht="24" customHeight="1" x14ac:dyDescent="0.25">
      <c r="A25" s="19">
        <v>15</v>
      </c>
      <c r="B25" s="36" t="s">
        <v>203</v>
      </c>
      <c r="C25" s="9" t="s">
        <v>523</v>
      </c>
      <c r="D25" s="26" t="s">
        <v>104</v>
      </c>
      <c r="E25" s="43" t="s">
        <v>522</v>
      </c>
      <c r="F25" s="26">
        <v>2020</v>
      </c>
      <c r="G25" s="28">
        <v>43956</v>
      </c>
      <c r="H25" s="28" t="s">
        <v>105</v>
      </c>
      <c r="I25" s="29">
        <f>7880000+2600000</f>
        <v>10480000</v>
      </c>
      <c r="J25" s="29" t="s">
        <v>24</v>
      </c>
      <c r="K25" s="24"/>
      <c r="L25" s="29"/>
      <c r="M25" s="19" t="s">
        <v>596</v>
      </c>
      <c r="N25" s="35" t="s">
        <v>521</v>
      </c>
      <c r="O25" s="35" t="s">
        <v>27</v>
      </c>
      <c r="P25" s="30"/>
      <c r="Q25" s="30" t="s">
        <v>62</v>
      </c>
      <c r="R25" s="38"/>
    </row>
    <row r="26" spans="1:18" s="93" customFormat="1" ht="24" customHeight="1" x14ac:dyDescent="0.25">
      <c r="A26" s="19">
        <v>16</v>
      </c>
      <c r="B26" s="36" t="s">
        <v>520</v>
      </c>
      <c r="C26" s="24" t="s">
        <v>519</v>
      </c>
      <c r="D26" s="26" t="s">
        <v>104</v>
      </c>
      <c r="E26" s="43" t="s">
        <v>518</v>
      </c>
      <c r="F26" s="26">
        <v>2020</v>
      </c>
      <c r="G26" s="28">
        <v>44120</v>
      </c>
      <c r="H26" s="28" t="s">
        <v>105</v>
      </c>
      <c r="I26" s="29">
        <f>9990000+3649000+1629000</f>
        <v>15268000</v>
      </c>
      <c r="J26" s="29" t="s">
        <v>24</v>
      </c>
      <c r="K26" s="24"/>
      <c r="L26" s="29"/>
      <c r="M26" s="26" t="s">
        <v>517</v>
      </c>
      <c r="N26" s="35" t="s">
        <v>516</v>
      </c>
      <c r="O26" s="35" t="s">
        <v>27</v>
      </c>
      <c r="P26" s="30" t="s">
        <v>515</v>
      </c>
      <c r="Q26" s="30" t="s">
        <v>97</v>
      </c>
      <c r="R26" s="38" t="s">
        <v>514</v>
      </c>
    </row>
    <row r="27" spans="1:18" s="93" customFormat="1" ht="24" customHeight="1" x14ac:dyDescent="0.25">
      <c r="A27" s="19">
        <v>17</v>
      </c>
      <c r="B27" s="36" t="s">
        <v>593</v>
      </c>
      <c r="C27" s="24"/>
      <c r="D27" s="26" t="s">
        <v>104</v>
      </c>
      <c r="E27" s="43" t="s">
        <v>594</v>
      </c>
      <c r="F27" s="26">
        <v>2025</v>
      </c>
      <c r="G27" s="28">
        <v>45870</v>
      </c>
      <c r="H27" s="28" t="s">
        <v>117</v>
      </c>
      <c r="I27" s="29">
        <v>67658000</v>
      </c>
      <c r="J27" s="29" t="s">
        <v>24</v>
      </c>
      <c r="K27" s="24"/>
      <c r="L27" s="29"/>
      <c r="M27" s="26" t="s">
        <v>595</v>
      </c>
      <c r="N27" s="35" t="s">
        <v>597</v>
      </c>
      <c r="O27" s="35" t="s">
        <v>27</v>
      </c>
      <c r="P27" s="30"/>
      <c r="Q27" s="30" t="s">
        <v>97</v>
      </c>
      <c r="R27" s="38"/>
    </row>
    <row r="28" spans="1:18" s="93" customFormat="1" ht="24" customHeight="1" x14ac:dyDescent="0.25">
      <c r="A28" s="101" t="s">
        <v>320</v>
      </c>
      <c r="B28" s="100" t="s">
        <v>513</v>
      </c>
      <c r="C28" s="97"/>
      <c r="D28" s="95"/>
      <c r="E28" s="99"/>
      <c r="F28" s="95"/>
      <c r="G28" s="98"/>
      <c r="H28" s="98"/>
      <c r="I28" s="96"/>
      <c r="J28" s="96"/>
      <c r="K28" s="97"/>
      <c r="L28" s="96"/>
      <c r="M28" s="95"/>
      <c r="N28" s="94"/>
      <c r="O28" s="94"/>
      <c r="P28" s="132"/>
      <c r="Q28" s="132"/>
      <c r="R28" s="133"/>
    </row>
    <row r="29" spans="1:18" s="90" customFormat="1" ht="60" x14ac:dyDescent="0.25">
      <c r="A29" s="19">
        <v>1</v>
      </c>
      <c r="B29" s="20" t="s">
        <v>512</v>
      </c>
      <c r="C29" s="9" t="s">
        <v>511</v>
      </c>
      <c r="D29" s="19" t="s">
        <v>498</v>
      </c>
      <c r="E29" s="42" t="s">
        <v>510</v>
      </c>
      <c r="F29" s="19"/>
      <c r="G29" s="22">
        <v>44956</v>
      </c>
      <c r="H29" s="22" t="s">
        <v>321</v>
      </c>
      <c r="I29" s="23">
        <v>8189000</v>
      </c>
      <c r="J29" s="23" t="s">
        <v>24</v>
      </c>
      <c r="K29" s="9"/>
      <c r="L29" s="23"/>
      <c r="M29" s="19" t="s">
        <v>509</v>
      </c>
      <c r="N29" s="32" t="s">
        <v>508</v>
      </c>
      <c r="O29" s="32" t="s">
        <v>27</v>
      </c>
      <c r="P29" s="33"/>
      <c r="Q29" s="33" t="s">
        <v>55</v>
      </c>
      <c r="R29" s="34"/>
    </row>
    <row r="30" spans="1:18" s="90" customFormat="1" ht="46.9" customHeight="1" x14ac:dyDescent="0.25">
      <c r="A30" s="19">
        <v>2</v>
      </c>
      <c r="B30" s="20" t="s">
        <v>507</v>
      </c>
      <c r="C30" s="9" t="s">
        <v>506</v>
      </c>
      <c r="D30" s="19" t="s">
        <v>498</v>
      </c>
      <c r="E30" s="42" t="s">
        <v>505</v>
      </c>
      <c r="F30" s="19"/>
      <c r="G30" s="22">
        <v>43046</v>
      </c>
      <c r="H30" s="22" t="s">
        <v>321</v>
      </c>
      <c r="I30" s="23">
        <v>6990000</v>
      </c>
      <c r="J30" s="23" t="s">
        <v>24</v>
      </c>
      <c r="K30" s="9"/>
      <c r="L30" s="23"/>
      <c r="M30" s="19" t="s">
        <v>434</v>
      </c>
      <c r="N30" s="19" t="s">
        <v>434</v>
      </c>
      <c r="O30" s="32" t="s">
        <v>27</v>
      </c>
      <c r="P30" s="33"/>
      <c r="Q30" s="33" t="s">
        <v>69</v>
      </c>
      <c r="R30" s="34"/>
    </row>
    <row r="31" spans="1:18" s="90" customFormat="1" ht="72.599999999999994" customHeight="1" x14ac:dyDescent="0.25">
      <c r="A31" s="19">
        <v>3</v>
      </c>
      <c r="B31" s="20" t="s">
        <v>504</v>
      </c>
      <c r="C31" s="24" t="s">
        <v>503</v>
      </c>
      <c r="D31" s="19" t="s">
        <v>498</v>
      </c>
      <c r="E31" s="42" t="s">
        <v>502</v>
      </c>
      <c r="F31" s="19"/>
      <c r="G31" s="22">
        <v>44018</v>
      </c>
      <c r="H31" s="22" t="s">
        <v>321</v>
      </c>
      <c r="I31" s="23">
        <v>23500000</v>
      </c>
      <c r="J31" s="23" t="s">
        <v>24</v>
      </c>
      <c r="K31" s="9"/>
      <c r="L31" s="23"/>
      <c r="M31" s="26" t="s">
        <v>313</v>
      </c>
      <c r="N31" s="32" t="s">
        <v>501</v>
      </c>
      <c r="O31" s="32" t="s">
        <v>27</v>
      </c>
      <c r="P31" s="33"/>
      <c r="Q31" s="30" t="s">
        <v>97</v>
      </c>
      <c r="R31" s="34"/>
    </row>
    <row r="32" spans="1:18" s="90" customFormat="1" ht="72.599999999999994" customHeight="1" x14ac:dyDescent="0.25">
      <c r="A32" s="19">
        <v>4</v>
      </c>
      <c r="B32" s="20" t="s">
        <v>500</v>
      </c>
      <c r="C32" s="9" t="s">
        <v>499</v>
      </c>
      <c r="D32" s="19" t="s">
        <v>498</v>
      </c>
      <c r="E32" s="42" t="s">
        <v>497</v>
      </c>
      <c r="F32" s="19">
        <v>2019</v>
      </c>
      <c r="G32" s="22">
        <v>43908</v>
      </c>
      <c r="H32" s="22" t="s">
        <v>496</v>
      </c>
      <c r="I32" s="23">
        <v>13650000</v>
      </c>
      <c r="J32" s="23" t="s">
        <v>24</v>
      </c>
      <c r="K32" s="9"/>
      <c r="L32" s="23"/>
      <c r="M32" s="26" t="s">
        <v>313</v>
      </c>
      <c r="N32" s="26" t="s">
        <v>313</v>
      </c>
      <c r="O32" s="32" t="s">
        <v>27</v>
      </c>
      <c r="P32" s="33"/>
      <c r="Q32" s="33" t="s">
        <v>115</v>
      </c>
      <c r="R32" s="34"/>
    </row>
    <row r="33" spans="1:18" s="90" customFormat="1" ht="24" customHeight="1" x14ac:dyDescent="0.25">
      <c r="A33" s="92">
        <v>24</v>
      </c>
      <c r="B33" s="91" t="s">
        <v>430</v>
      </c>
      <c r="C33" s="9"/>
      <c r="D33" s="19"/>
      <c r="E33" s="20"/>
      <c r="F33" s="33"/>
      <c r="G33" s="22"/>
      <c r="H33" s="22"/>
      <c r="I33" s="23"/>
      <c r="J33" s="23"/>
      <c r="K33" s="9"/>
      <c r="L33" s="23"/>
      <c r="M33" s="19"/>
      <c r="N33" s="32"/>
      <c r="O33" s="32"/>
      <c r="P33" s="33"/>
      <c r="Q33" s="33"/>
      <c r="R33" s="34"/>
    </row>
    <row r="35" spans="1:18" ht="16.5" x14ac:dyDescent="0.25">
      <c r="B35" s="88" t="s">
        <v>219</v>
      </c>
      <c r="C35" s="89"/>
      <c r="D35" s="89"/>
      <c r="E35" s="89"/>
      <c r="F35" s="89"/>
      <c r="G35" s="89"/>
      <c r="H35" s="89"/>
      <c r="I35" s="89"/>
      <c r="J35" s="89"/>
      <c r="K35" s="89"/>
      <c r="L35" s="168" t="s">
        <v>495</v>
      </c>
      <c r="M35" s="168"/>
      <c r="N35" s="168"/>
    </row>
    <row r="36" spans="1:18" x14ac:dyDescent="0.25">
      <c r="C36" s="83"/>
      <c r="D36" s="83"/>
      <c r="G36" s="83"/>
      <c r="H36" s="83"/>
      <c r="I36" s="83"/>
      <c r="J36" s="83"/>
      <c r="K36" s="83"/>
      <c r="L36" s="83"/>
      <c r="N36" s="83"/>
    </row>
    <row r="37" spans="1:18" x14ac:dyDescent="0.25">
      <c r="C37" s="83"/>
      <c r="D37" s="83"/>
      <c r="G37" s="83"/>
      <c r="H37" s="83"/>
      <c r="I37" s="83"/>
      <c r="J37" s="83"/>
      <c r="K37" s="83"/>
      <c r="L37" s="83"/>
      <c r="N37" s="83"/>
    </row>
    <row r="38" spans="1:18" x14ac:dyDescent="0.25">
      <c r="C38" s="83"/>
      <c r="D38" s="83"/>
      <c r="G38" s="83"/>
      <c r="H38" s="83"/>
      <c r="I38" s="83"/>
      <c r="J38" s="83"/>
      <c r="K38" s="83"/>
      <c r="L38" s="83"/>
      <c r="N38" s="83"/>
    </row>
    <row r="39" spans="1:18" x14ac:dyDescent="0.25">
      <c r="C39" s="83"/>
      <c r="D39" s="83"/>
      <c r="G39" s="83"/>
      <c r="H39" s="83"/>
      <c r="I39" s="83"/>
      <c r="J39" s="83"/>
      <c r="K39" s="83"/>
      <c r="L39" s="83"/>
      <c r="N39" s="83"/>
    </row>
    <row r="40" spans="1:18" x14ac:dyDescent="0.25">
      <c r="C40" s="83"/>
      <c r="D40" s="83"/>
      <c r="G40" s="83"/>
      <c r="H40" s="83"/>
      <c r="I40" s="83"/>
      <c r="J40" s="83"/>
      <c r="K40" s="83"/>
      <c r="L40" s="83"/>
      <c r="N40" s="83"/>
    </row>
    <row r="41" spans="1:18" x14ac:dyDescent="0.25">
      <c r="C41" s="83"/>
      <c r="D41" s="83"/>
      <c r="G41" s="83"/>
      <c r="H41" s="83"/>
      <c r="I41" s="83"/>
      <c r="J41" s="83"/>
      <c r="K41" s="83"/>
      <c r="L41" s="83"/>
      <c r="N41" s="83"/>
    </row>
    <row r="42" spans="1:18" x14ac:dyDescent="0.25">
      <c r="C42" s="83"/>
      <c r="D42" s="83"/>
      <c r="G42" s="83"/>
      <c r="H42" s="83"/>
      <c r="I42" s="83"/>
      <c r="J42" s="83"/>
      <c r="K42" s="83"/>
      <c r="L42" s="83"/>
      <c r="N42" s="83"/>
    </row>
  </sheetData>
  <autoFilter ref="A4:R33" xr:uid="{B8259298-F396-4119-B3B4-87A257A8F16A}"/>
  <mergeCells count="3">
    <mergeCell ref="L35:N35"/>
    <mergeCell ref="D2:K2"/>
    <mergeCell ref="B1:B2"/>
  </mergeCells>
  <conditionalFormatting sqref="C3:C7 C10:C16 C22:C25 C28:C29 C33:C34 C43:C65524">
    <cfRule type="expression" dxfId="120" priority="18" stopIfTrue="1">
      <formula>AND(COUNTIF($C$33:$C$65524, C3)+COUNTIF(#REF!, C3)+COUNTIF($C$10:$C$16, C3)+COUNTIF($C$22:$C$23, C3)+COUNTIF(#REF!, C3)+COUNTIF(#REF!, C3)+COUNTIF(#REF!, C3)+COUNTIF(#REF!, C3)+COUNTIF(#REF!, C3)+COUNTIF(#REF!, C3)+COUNTIF($C$28:$C$29, C3)+COUNTIF($C$1:$C$5, C3)+COUNTIF($C$6:$C$7, C3)+COUNTIF(#REF!, C3)+COUNTIF(#REF!, C3)+COUNTIF($C$24:$C$25, C3)+COUNTIF(#REF!, C3)+COUNTIF(#REF!, C3)+COUNTIF(#REF!, C3)+COUNTIF(#REF!, C3)&gt;1,NOT(ISBLANK(C3)))</formula>
    </cfRule>
  </conditionalFormatting>
  <conditionalFormatting sqref="C3:C7 C10:C18 C22:C25 C28:C29 C33:C34 C43:C65524 C31">
    <cfRule type="expression" dxfId="119" priority="19" stopIfTrue="1">
      <formula>AND(COUNTIF($C$33:$C$65524, C3)+COUNTIF($C$10:$C$18, C3)+COUNTIF($C$22:$C$23, C3)+COUNTIF(#REF!, C3)+COUNTIF(#REF!, C3)+COUNTIF(#REF!, C3)+COUNTIF(#REF!, C3)+COUNTIF(#REF!, C3)+COUNTIF(#REF!, C3)+COUNTIF(#REF!, C3)+COUNTIF($C$28:$C$29, C3)+COUNTIF($C$1:$C$5, C3)+COUNTIF($C$6:$C$7, C3)+COUNTIF(#REF!, C3)+COUNTIF(#REF!, C3)+COUNTIF($C$24:$C$25, C3)+COUNTIF($C$31:$C$31, C3)+COUNTIF(#REF!, C3)+COUNTIF(#REF!, C3)+COUNTIF(#REF!, C3)&gt;1,NOT(ISBLANK(C3)))</formula>
    </cfRule>
  </conditionalFormatting>
  <conditionalFormatting sqref="C8">
    <cfRule type="duplicateValues" dxfId="118" priority="11" stopIfTrue="1"/>
    <cfRule type="duplicateValues" dxfId="117" priority="12" stopIfTrue="1"/>
  </conditionalFormatting>
  <conditionalFormatting sqref="C9">
    <cfRule type="duplicateValues" dxfId="116" priority="20" stopIfTrue="1"/>
  </conditionalFormatting>
  <conditionalFormatting sqref="C17">
    <cfRule type="duplicateValues" dxfId="115" priority="17" stopIfTrue="1"/>
  </conditionalFormatting>
  <conditionalFormatting sqref="C18">
    <cfRule type="duplicateValues" dxfId="114" priority="16" stopIfTrue="1"/>
  </conditionalFormatting>
  <conditionalFormatting sqref="C19">
    <cfRule type="duplicateValues" dxfId="113" priority="7" stopIfTrue="1"/>
    <cfRule type="duplicateValues" dxfId="112" priority="8" stopIfTrue="1"/>
  </conditionalFormatting>
  <conditionalFormatting sqref="C20">
    <cfRule type="duplicateValues" dxfId="111" priority="5" stopIfTrue="1"/>
    <cfRule type="duplicateValues" dxfId="110" priority="6" stopIfTrue="1"/>
  </conditionalFormatting>
  <conditionalFormatting sqref="C21">
    <cfRule type="duplicateValues" dxfId="109" priority="3" stopIfTrue="1"/>
    <cfRule type="duplicateValues" dxfId="108" priority="4" stopIfTrue="1"/>
  </conditionalFormatting>
  <conditionalFormatting sqref="C26:C27">
    <cfRule type="duplicateValues" dxfId="107" priority="13" stopIfTrue="1"/>
    <cfRule type="duplicateValues" dxfId="106" priority="14" stopIfTrue="1"/>
  </conditionalFormatting>
  <conditionalFormatting sqref="C30">
    <cfRule type="duplicateValues" dxfId="105" priority="1" stopIfTrue="1"/>
    <cfRule type="duplicateValues" dxfId="104" priority="2" stopIfTrue="1"/>
  </conditionalFormatting>
  <conditionalFormatting sqref="C31">
    <cfRule type="duplicateValues" dxfId="103" priority="15" stopIfTrue="1"/>
  </conditionalFormatting>
  <conditionalFormatting sqref="C32">
    <cfRule type="duplicateValues" dxfId="102" priority="9" stopIfTrue="1"/>
    <cfRule type="duplicateValues" dxfId="101" priority="10" stopIfTrue="1"/>
  </conditionalFormatting>
  <pageMargins left="0.31496062992125984" right="0.2" top="0.17" bottom="0.19685039370078741" header="0.17" footer="0.21"/>
  <pageSetup paperSize="9" scale="54" fitToHeight="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1FABDF-33A0-4E6C-BBC9-23091C1E0ECA}">
  <sheetPr>
    <tabColor rgb="FF00B0F0"/>
    <pageSetUpPr fitToPage="1"/>
  </sheetPr>
  <dimension ref="A1:AH173"/>
  <sheetViews>
    <sheetView tabSelected="1" zoomScaleNormal="100" zoomScaleSheetLayoutView="98" workbookViewId="0">
      <pane xSplit="2" ySplit="7" topLeftCell="M8" activePane="bottomRight" state="frozen"/>
      <selection pane="topRight" activeCell="C1" sqref="C1"/>
      <selection pane="bottomLeft" activeCell="A5" sqref="A5"/>
      <selection pane="bottomRight" activeCell="R28" sqref="R28"/>
    </sheetView>
  </sheetViews>
  <sheetFormatPr defaultRowHeight="15" x14ac:dyDescent="0.25"/>
  <cols>
    <col min="1" max="1" width="4.28515625" style="57" customWidth="1"/>
    <col min="2" max="2" width="52.7109375" style="7" customWidth="1"/>
    <col min="3" max="3" width="9.28515625" style="57" customWidth="1"/>
    <col min="4" max="4" width="17.7109375" style="57" customWidth="1"/>
    <col min="5" max="5" width="65.140625" style="7" customWidth="1"/>
    <col min="6" max="6" width="19.7109375" style="57" customWidth="1"/>
    <col min="7" max="7" width="10.140625" style="7" customWidth="1"/>
    <col min="8" max="8" width="10.140625" style="58" customWidth="1"/>
    <col min="9" max="9" width="11.7109375" style="58" customWidth="1"/>
    <col min="10" max="10" width="13.85546875" style="59" customWidth="1"/>
    <col min="11" max="11" width="16.7109375" style="59" customWidth="1"/>
    <col min="12" max="12" width="16.5703125" style="60" customWidth="1"/>
    <col min="13" max="13" width="15.140625" style="59" customWidth="1"/>
    <col min="14" max="14" width="19.7109375" style="7" customWidth="1"/>
    <col min="15" max="15" width="19.5703125" style="57" customWidth="1"/>
    <col min="16" max="18" width="13.7109375" style="57" customWidth="1"/>
    <col min="19" max="19" width="34.42578125" style="7" customWidth="1"/>
    <col min="20" max="20" width="26.7109375" style="154" customWidth="1"/>
    <col min="21" max="21" width="15.28515625" style="61" customWidth="1"/>
    <col min="22" max="22" width="24.5703125" style="83" bestFit="1" customWidth="1"/>
    <col min="23" max="23" width="18.140625" style="134" customWidth="1"/>
    <col min="24" max="34" width="18.140625" style="85" customWidth="1"/>
    <col min="35" max="260" width="9.140625" style="7"/>
    <col min="261" max="261" width="4.28515625" style="7" customWidth="1"/>
    <col min="262" max="262" width="52.7109375" style="7" customWidth="1"/>
    <col min="263" max="263" width="9.28515625" style="7" customWidth="1"/>
    <col min="264" max="264" width="17.7109375" style="7" customWidth="1"/>
    <col min="265" max="265" width="65.140625" style="7" customWidth="1"/>
    <col min="266" max="267" width="10.140625" style="7" customWidth="1"/>
    <col min="268" max="268" width="11.7109375" style="7" customWidth="1"/>
    <col min="269" max="269" width="13.85546875" style="7" customWidth="1"/>
    <col min="270" max="270" width="16.7109375" style="7" customWidth="1"/>
    <col min="271" max="271" width="16.5703125" style="7" customWidth="1"/>
    <col min="272" max="272" width="15.140625" style="7" customWidth="1"/>
    <col min="273" max="273" width="19.7109375" style="7" customWidth="1"/>
    <col min="274" max="274" width="19.5703125" style="7" customWidth="1"/>
    <col min="275" max="275" width="13.7109375" style="7" customWidth="1"/>
    <col min="276" max="276" width="34.42578125" style="7" customWidth="1"/>
    <col min="277" max="277" width="26.7109375" style="7" customWidth="1"/>
    <col min="278" max="278" width="15.28515625" style="7" customWidth="1"/>
    <col min="279" max="279" width="9.140625" style="7"/>
    <col min="280" max="280" width="18.28515625" style="7" customWidth="1"/>
    <col min="281" max="516" width="9.140625" style="7"/>
    <col min="517" max="517" width="4.28515625" style="7" customWidth="1"/>
    <col min="518" max="518" width="52.7109375" style="7" customWidth="1"/>
    <col min="519" max="519" width="9.28515625" style="7" customWidth="1"/>
    <col min="520" max="520" width="17.7109375" style="7" customWidth="1"/>
    <col min="521" max="521" width="65.140625" style="7" customWidth="1"/>
    <col min="522" max="523" width="10.140625" style="7" customWidth="1"/>
    <col min="524" max="524" width="11.7109375" style="7" customWidth="1"/>
    <col min="525" max="525" width="13.85546875" style="7" customWidth="1"/>
    <col min="526" max="526" width="16.7109375" style="7" customWidth="1"/>
    <col min="527" max="527" width="16.5703125" style="7" customWidth="1"/>
    <col min="528" max="528" width="15.140625" style="7" customWidth="1"/>
    <col min="529" max="529" width="19.7109375" style="7" customWidth="1"/>
    <col min="530" max="530" width="19.5703125" style="7" customWidth="1"/>
    <col min="531" max="531" width="13.7109375" style="7" customWidth="1"/>
    <col min="532" max="532" width="34.42578125" style="7" customWidth="1"/>
    <col min="533" max="533" width="26.7109375" style="7" customWidth="1"/>
    <col min="534" max="534" width="15.28515625" style="7" customWidth="1"/>
    <col min="535" max="535" width="9.140625" style="7"/>
    <col min="536" max="536" width="18.28515625" style="7" customWidth="1"/>
    <col min="537" max="772" width="9.140625" style="7"/>
    <col min="773" max="773" width="4.28515625" style="7" customWidth="1"/>
    <col min="774" max="774" width="52.7109375" style="7" customWidth="1"/>
    <col min="775" max="775" width="9.28515625" style="7" customWidth="1"/>
    <col min="776" max="776" width="17.7109375" style="7" customWidth="1"/>
    <col min="777" max="777" width="65.140625" style="7" customWidth="1"/>
    <col min="778" max="779" width="10.140625" style="7" customWidth="1"/>
    <col min="780" max="780" width="11.7109375" style="7" customWidth="1"/>
    <col min="781" max="781" width="13.85546875" style="7" customWidth="1"/>
    <col min="782" max="782" width="16.7109375" style="7" customWidth="1"/>
    <col min="783" max="783" width="16.5703125" style="7" customWidth="1"/>
    <col min="784" max="784" width="15.140625" style="7" customWidth="1"/>
    <col min="785" max="785" width="19.7109375" style="7" customWidth="1"/>
    <col min="786" max="786" width="19.5703125" style="7" customWidth="1"/>
    <col min="787" max="787" width="13.7109375" style="7" customWidth="1"/>
    <col min="788" max="788" width="34.42578125" style="7" customWidth="1"/>
    <col min="789" max="789" width="26.7109375" style="7" customWidth="1"/>
    <col min="790" max="790" width="15.28515625" style="7" customWidth="1"/>
    <col min="791" max="791" width="9.140625" style="7"/>
    <col min="792" max="792" width="18.28515625" style="7" customWidth="1"/>
    <col min="793" max="1028" width="9.140625" style="7"/>
    <col min="1029" max="1029" width="4.28515625" style="7" customWidth="1"/>
    <col min="1030" max="1030" width="52.7109375" style="7" customWidth="1"/>
    <col min="1031" max="1031" width="9.28515625" style="7" customWidth="1"/>
    <col min="1032" max="1032" width="17.7109375" style="7" customWidth="1"/>
    <col min="1033" max="1033" width="65.140625" style="7" customWidth="1"/>
    <col min="1034" max="1035" width="10.140625" style="7" customWidth="1"/>
    <col min="1036" max="1036" width="11.7109375" style="7" customWidth="1"/>
    <col min="1037" max="1037" width="13.85546875" style="7" customWidth="1"/>
    <col min="1038" max="1038" width="16.7109375" style="7" customWidth="1"/>
    <col min="1039" max="1039" width="16.5703125" style="7" customWidth="1"/>
    <col min="1040" max="1040" width="15.140625" style="7" customWidth="1"/>
    <col min="1041" max="1041" width="19.7109375" style="7" customWidth="1"/>
    <col min="1042" max="1042" width="19.5703125" style="7" customWidth="1"/>
    <col min="1043" max="1043" width="13.7109375" style="7" customWidth="1"/>
    <col min="1044" max="1044" width="34.42578125" style="7" customWidth="1"/>
    <col min="1045" max="1045" width="26.7109375" style="7" customWidth="1"/>
    <col min="1046" max="1046" width="15.28515625" style="7" customWidth="1"/>
    <col min="1047" max="1047" width="9.140625" style="7"/>
    <col min="1048" max="1048" width="18.28515625" style="7" customWidth="1"/>
    <col min="1049" max="1284" width="9.140625" style="7"/>
    <col min="1285" max="1285" width="4.28515625" style="7" customWidth="1"/>
    <col min="1286" max="1286" width="52.7109375" style="7" customWidth="1"/>
    <col min="1287" max="1287" width="9.28515625" style="7" customWidth="1"/>
    <col min="1288" max="1288" width="17.7109375" style="7" customWidth="1"/>
    <col min="1289" max="1289" width="65.140625" style="7" customWidth="1"/>
    <col min="1290" max="1291" width="10.140625" style="7" customWidth="1"/>
    <col min="1292" max="1292" width="11.7109375" style="7" customWidth="1"/>
    <col min="1293" max="1293" width="13.85546875" style="7" customWidth="1"/>
    <col min="1294" max="1294" width="16.7109375" style="7" customWidth="1"/>
    <col min="1295" max="1295" width="16.5703125" style="7" customWidth="1"/>
    <col min="1296" max="1296" width="15.140625" style="7" customWidth="1"/>
    <col min="1297" max="1297" width="19.7109375" style="7" customWidth="1"/>
    <col min="1298" max="1298" width="19.5703125" style="7" customWidth="1"/>
    <col min="1299" max="1299" width="13.7109375" style="7" customWidth="1"/>
    <col min="1300" max="1300" width="34.42578125" style="7" customWidth="1"/>
    <col min="1301" max="1301" width="26.7109375" style="7" customWidth="1"/>
    <col min="1302" max="1302" width="15.28515625" style="7" customWidth="1"/>
    <col min="1303" max="1303" width="9.140625" style="7"/>
    <col min="1304" max="1304" width="18.28515625" style="7" customWidth="1"/>
    <col min="1305" max="1540" width="9.140625" style="7"/>
    <col min="1541" max="1541" width="4.28515625" style="7" customWidth="1"/>
    <col min="1542" max="1542" width="52.7109375" style="7" customWidth="1"/>
    <col min="1543" max="1543" width="9.28515625" style="7" customWidth="1"/>
    <col min="1544" max="1544" width="17.7109375" style="7" customWidth="1"/>
    <col min="1545" max="1545" width="65.140625" style="7" customWidth="1"/>
    <col min="1546" max="1547" width="10.140625" style="7" customWidth="1"/>
    <col min="1548" max="1548" width="11.7109375" style="7" customWidth="1"/>
    <col min="1549" max="1549" width="13.85546875" style="7" customWidth="1"/>
    <col min="1550" max="1550" width="16.7109375" style="7" customWidth="1"/>
    <col min="1551" max="1551" width="16.5703125" style="7" customWidth="1"/>
    <col min="1552" max="1552" width="15.140625" style="7" customWidth="1"/>
    <col min="1553" max="1553" width="19.7109375" style="7" customWidth="1"/>
    <col min="1554" max="1554" width="19.5703125" style="7" customWidth="1"/>
    <col min="1555" max="1555" width="13.7109375" style="7" customWidth="1"/>
    <col min="1556" max="1556" width="34.42578125" style="7" customWidth="1"/>
    <col min="1557" max="1557" width="26.7109375" style="7" customWidth="1"/>
    <col min="1558" max="1558" width="15.28515625" style="7" customWidth="1"/>
    <col min="1559" max="1559" width="9.140625" style="7"/>
    <col min="1560" max="1560" width="18.28515625" style="7" customWidth="1"/>
    <col min="1561" max="1796" width="9.140625" style="7"/>
    <col min="1797" max="1797" width="4.28515625" style="7" customWidth="1"/>
    <col min="1798" max="1798" width="52.7109375" style="7" customWidth="1"/>
    <col min="1799" max="1799" width="9.28515625" style="7" customWidth="1"/>
    <col min="1800" max="1800" width="17.7109375" style="7" customWidth="1"/>
    <col min="1801" max="1801" width="65.140625" style="7" customWidth="1"/>
    <col min="1802" max="1803" width="10.140625" style="7" customWidth="1"/>
    <col min="1804" max="1804" width="11.7109375" style="7" customWidth="1"/>
    <col min="1805" max="1805" width="13.85546875" style="7" customWidth="1"/>
    <col min="1806" max="1806" width="16.7109375" style="7" customWidth="1"/>
    <col min="1807" max="1807" width="16.5703125" style="7" customWidth="1"/>
    <col min="1808" max="1808" width="15.140625" style="7" customWidth="1"/>
    <col min="1809" max="1809" width="19.7109375" style="7" customWidth="1"/>
    <col min="1810" max="1810" width="19.5703125" style="7" customWidth="1"/>
    <col min="1811" max="1811" width="13.7109375" style="7" customWidth="1"/>
    <col min="1812" max="1812" width="34.42578125" style="7" customWidth="1"/>
    <col min="1813" max="1813" width="26.7109375" style="7" customWidth="1"/>
    <col min="1814" max="1814" width="15.28515625" style="7" customWidth="1"/>
    <col min="1815" max="1815" width="9.140625" style="7"/>
    <col min="1816" max="1816" width="18.28515625" style="7" customWidth="1"/>
    <col min="1817" max="2052" width="9.140625" style="7"/>
    <col min="2053" max="2053" width="4.28515625" style="7" customWidth="1"/>
    <col min="2054" max="2054" width="52.7109375" style="7" customWidth="1"/>
    <col min="2055" max="2055" width="9.28515625" style="7" customWidth="1"/>
    <col min="2056" max="2056" width="17.7109375" style="7" customWidth="1"/>
    <col min="2057" max="2057" width="65.140625" style="7" customWidth="1"/>
    <col min="2058" max="2059" width="10.140625" style="7" customWidth="1"/>
    <col min="2060" max="2060" width="11.7109375" style="7" customWidth="1"/>
    <col min="2061" max="2061" width="13.85546875" style="7" customWidth="1"/>
    <col min="2062" max="2062" width="16.7109375" style="7" customWidth="1"/>
    <col min="2063" max="2063" width="16.5703125" style="7" customWidth="1"/>
    <col min="2064" max="2064" width="15.140625" style="7" customWidth="1"/>
    <col min="2065" max="2065" width="19.7109375" style="7" customWidth="1"/>
    <col min="2066" max="2066" width="19.5703125" style="7" customWidth="1"/>
    <col min="2067" max="2067" width="13.7109375" style="7" customWidth="1"/>
    <col min="2068" max="2068" width="34.42578125" style="7" customWidth="1"/>
    <col min="2069" max="2069" width="26.7109375" style="7" customWidth="1"/>
    <col min="2070" max="2070" width="15.28515625" style="7" customWidth="1"/>
    <col min="2071" max="2071" width="9.140625" style="7"/>
    <col min="2072" max="2072" width="18.28515625" style="7" customWidth="1"/>
    <col min="2073" max="2308" width="9.140625" style="7"/>
    <col min="2309" max="2309" width="4.28515625" style="7" customWidth="1"/>
    <col min="2310" max="2310" width="52.7109375" style="7" customWidth="1"/>
    <col min="2311" max="2311" width="9.28515625" style="7" customWidth="1"/>
    <col min="2312" max="2312" width="17.7109375" style="7" customWidth="1"/>
    <col min="2313" max="2313" width="65.140625" style="7" customWidth="1"/>
    <col min="2314" max="2315" width="10.140625" style="7" customWidth="1"/>
    <col min="2316" max="2316" width="11.7109375" style="7" customWidth="1"/>
    <col min="2317" max="2317" width="13.85546875" style="7" customWidth="1"/>
    <col min="2318" max="2318" width="16.7109375" style="7" customWidth="1"/>
    <col min="2319" max="2319" width="16.5703125" style="7" customWidth="1"/>
    <col min="2320" max="2320" width="15.140625" style="7" customWidth="1"/>
    <col min="2321" max="2321" width="19.7109375" style="7" customWidth="1"/>
    <col min="2322" max="2322" width="19.5703125" style="7" customWidth="1"/>
    <col min="2323" max="2323" width="13.7109375" style="7" customWidth="1"/>
    <col min="2324" max="2324" width="34.42578125" style="7" customWidth="1"/>
    <col min="2325" max="2325" width="26.7109375" style="7" customWidth="1"/>
    <col min="2326" max="2326" width="15.28515625" style="7" customWidth="1"/>
    <col min="2327" max="2327" width="9.140625" style="7"/>
    <col min="2328" max="2328" width="18.28515625" style="7" customWidth="1"/>
    <col min="2329" max="2564" width="9.140625" style="7"/>
    <col min="2565" max="2565" width="4.28515625" style="7" customWidth="1"/>
    <col min="2566" max="2566" width="52.7109375" style="7" customWidth="1"/>
    <col min="2567" max="2567" width="9.28515625" style="7" customWidth="1"/>
    <col min="2568" max="2568" width="17.7109375" style="7" customWidth="1"/>
    <col min="2569" max="2569" width="65.140625" style="7" customWidth="1"/>
    <col min="2570" max="2571" width="10.140625" style="7" customWidth="1"/>
    <col min="2572" max="2572" width="11.7109375" style="7" customWidth="1"/>
    <col min="2573" max="2573" width="13.85546875" style="7" customWidth="1"/>
    <col min="2574" max="2574" width="16.7109375" style="7" customWidth="1"/>
    <col min="2575" max="2575" width="16.5703125" style="7" customWidth="1"/>
    <col min="2576" max="2576" width="15.140625" style="7" customWidth="1"/>
    <col min="2577" max="2577" width="19.7109375" style="7" customWidth="1"/>
    <col min="2578" max="2578" width="19.5703125" style="7" customWidth="1"/>
    <col min="2579" max="2579" width="13.7109375" style="7" customWidth="1"/>
    <col min="2580" max="2580" width="34.42578125" style="7" customWidth="1"/>
    <col min="2581" max="2581" width="26.7109375" style="7" customWidth="1"/>
    <col min="2582" max="2582" width="15.28515625" style="7" customWidth="1"/>
    <col min="2583" max="2583" width="9.140625" style="7"/>
    <col min="2584" max="2584" width="18.28515625" style="7" customWidth="1"/>
    <col min="2585" max="2820" width="9.140625" style="7"/>
    <col min="2821" max="2821" width="4.28515625" style="7" customWidth="1"/>
    <col min="2822" max="2822" width="52.7109375" style="7" customWidth="1"/>
    <col min="2823" max="2823" width="9.28515625" style="7" customWidth="1"/>
    <col min="2824" max="2824" width="17.7109375" style="7" customWidth="1"/>
    <col min="2825" max="2825" width="65.140625" style="7" customWidth="1"/>
    <col min="2826" max="2827" width="10.140625" style="7" customWidth="1"/>
    <col min="2828" max="2828" width="11.7109375" style="7" customWidth="1"/>
    <col min="2829" max="2829" width="13.85546875" style="7" customWidth="1"/>
    <col min="2830" max="2830" width="16.7109375" style="7" customWidth="1"/>
    <col min="2831" max="2831" width="16.5703125" style="7" customWidth="1"/>
    <col min="2832" max="2832" width="15.140625" style="7" customWidth="1"/>
    <col min="2833" max="2833" width="19.7109375" style="7" customWidth="1"/>
    <col min="2834" max="2834" width="19.5703125" style="7" customWidth="1"/>
    <col min="2835" max="2835" width="13.7109375" style="7" customWidth="1"/>
    <col min="2836" max="2836" width="34.42578125" style="7" customWidth="1"/>
    <col min="2837" max="2837" width="26.7109375" style="7" customWidth="1"/>
    <col min="2838" max="2838" width="15.28515625" style="7" customWidth="1"/>
    <col min="2839" max="2839" width="9.140625" style="7"/>
    <col min="2840" max="2840" width="18.28515625" style="7" customWidth="1"/>
    <col min="2841" max="3076" width="9.140625" style="7"/>
    <col min="3077" max="3077" width="4.28515625" style="7" customWidth="1"/>
    <col min="3078" max="3078" width="52.7109375" style="7" customWidth="1"/>
    <col min="3079" max="3079" width="9.28515625" style="7" customWidth="1"/>
    <col min="3080" max="3080" width="17.7109375" style="7" customWidth="1"/>
    <col min="3081" max="3081" width="65.140625" style="7" customWidth="1"/>
    <col min="3082" max="3083" width="10.140625" style="7" customWidth="1"/>
    <col min="3084" max="3084" width="11.7109375" style="7" customWidth="1"/>
    <col min="3085" max="3085" width="13.85546875" style="7" customWidth="1"/>
    <col min="3086" max="3086" width="16.7109375" style="7" customWidth="1"/>
    <col min="3087" max="3087" width="16.5703125" style="7" customWidth="1"/>
    <col min="3088" max="3088" width="15.140625" style="7" customWidth="1"/>
    <col min="3089" max="3089" width="19.7109375" style="7" customWidth="1"/>
    <col min="3090" max="3090" width="19.5703125" style="7" customWidth="1"/>
    <col min="3091" max="3091" width="13.7109375" style="7" customWidth="1"/>
    <col min="3092" max="3092" width="34.42578125" style="7" customWidth="1"/>
    <col min="3093" max="3093" width="26.7109375" style="7" customWidth="1"/>
    <col min="3094" max="3094" width="15.28515625" style="7" customWidth="1"/>
    <col min="3095" max="3095" width="9.140625" style="7"/>
    <col min="3096" max="3096" width="18.28515625" style="7" customWidth="1"/>
    <col min="3097" max="3332" width="9.140625" style="7"/>
    <col min="3333" max="3333" width="4.28515625" style="7" customWidth="1"/>
    <col min="3334" max="3334" width="52.7109375" style="7" customWidth="1"/>
    <col min="3335" max="3335" width="9.28515625" style="7" customWidth="1"/>
    <col min="3336" max="3336" width="17.7109375" style="7" customWidth="1"/>
    <col min="3337" max="3337" width="65.140625" style="7" customWidth="1"/>
    <col min="3338" max="3339" width="10.140625" style="7" customWidth="1"/>
    <col min="3340" max="3340" width="11.7109375" style="7" customWidth="1"/>
    <col min="3341" max="3341" width="13.85546875" style="7" customWidth="1"/>
    <col min="3342" max="3342" width="16.7109375" style="7" customWidth="1"/>
    <col min="3343" max="3343" width="16.5703125" style="7" customWidth="1"/>
    <col min="3344" max="3344" width="15.140625" style="7" customWidth="1"/>
    <col min="3345" max="3345" width="19.7109375" style="7" customWidth="1"/>
    <col min="3346" max="3346" width="19.5703125" style="7" customWidth="1"/>
    <col min="3347" max="3347" width="13.7109375" style="7" customWidth="1"/>
    <col min="3348" max="3348" width="34.42578125" style="7" customWidth="1"/>
    <col min="3349" max="3349" width="26.7109375" style="7" customWidth="1"/>
    <col min="3350" max="3350" width="15.28515625" style="7" customWidth="1"/>
    <col min="3351" max="3351" width="9.140625" style="7"/>
    <col min="3352" max="3352" width="18.28515625" style="7" customWidth="1"/>
    <col min="3353" max="3588" width="9.140625" style="7"/>
    <col min="3589" max="3589" width="4.28515625" style="7" customWidth="1"/>
    <col min="3590" max="3590" width="52.7109375" style="7" customWidth="1"/>
    <col min="3591" max="3591" width="9.28515625" style="7" customWidth="1"/>
    <col min="3592" max="3592" width="17.7109375" style="7" customWidth="1"/>
    <col min="3593" max="3593" width="65.140625" style="7" customWidth="1"/>
    <col min="3594" max="3595" width="10.140625" style="7" customWidth="1"/>
    <col min="3596" max="3596" width="11.7109375" style="7" customWidth="1"/>
    <col min="3597" max="3597" width="13.85546875" style="7" customWidth="1"/>
    <col min="3598" max="3598" width="16.7109375" style="7" customWidth="1"/>
    <col min="3599" max="3599" width="16.5703125" style="7" customWidth="1"/>
    <col min="3600" max="3600" width="15.140625" style="7" customWidth="1"/>
    <col min="3601" max="3601" width="19.7109375" style="7" customWidth="1"/>
    <col min="3602" max="3602" width="19.5703125" style="7" customWidth="1"/>
    <col min="3603" max="3603" width="13.7109375" style="7" customWidth="1"/>
    <col min="3604" max="3604" width="34.42578125" style="7" customWidth="1"/>
    <col min="3605" max="3605" width="26.7109375" style="7" customWidth="1"/>
    <col min="3606" max="3606" width="15.28515625" style="7" customWidth="1"/>
    <col min="3607" max="3607" width="9.140625" style="7"/>
    <col min="3608" max="3608" width="18.28515625" style="7" customWidth="1"/>
    <col min="3609" max="3844" width="9.140625" style="7"/>
    <col min="3845" max="3845" width="4.28515625" style="7" customWidth="1"/>
    <col min="3846" max="3846" width="52.7109375" style="7" customWidth="1"/>
    <col min="3847" max="3847" width="9.28515625" style="7" customWidth="1"/>
    <col min="3848" max="3848" width="17.7109375" style="7" customWidth="1"/>
    <col min="3849" max="3849" width="65.140625" style="7" customWidth="1"/>
    <col min="3850" max="3851" width="10.140625" style="7" customWidth="1"/>
    <col min="3852" max="3852" width="11.7109375" style="7" customWidth="1"/>
    <col min="3853" max="3853" width="13.85546875" style="7" customWidth="1"/>
    <col min="3854" max="3854" width="16.7109375" style="7" customWidth="1"/>
    <col min="3855" max="3855" width="16.5703125" style="7" customWidth="1"/>
    <col min="3856" max="3856" width="15.140625" style="7" customWidth="1"/>
    <col min="3857" max="3857" width="19.7109375" style="7" customWidth="1"/>
    <col min="3858" max="3858" width="19.5703125" style="7" customWidth="1"/>
    <col min="3859" max="3859" width="13.7109375" style="7" customWidth="1"/>
    <col min="3860" max="3860" width="34.42578125" style="7" customWidth="1"/>
    <col min="3861" max="3861" width="26.7109375" style="7" customWidth="1"/>
    <col min="3862" max="3862" width="15.28515625" style="7" customWidth="1"/>
    <col min="3863" max="3863" width="9.140625" style="7"/>
    <col min="3864" max="3864" width="18.28515625" style="7" customWidth="1"/>
    <col min="3865" max="4100" width="9.140625" style="7"/>
    <col min="4101" max="4101" width="4.28515625" style="7" customWidth="1"/>
    <col min="4102" max="4102" width="52.7109375" style="7" customWidth="1"/>
    <col min="4103" max="4103" width="9.28515625" style="7" customWidth="1"/>
    <col min="4104" max="4104" width="17.7109375" style="7" customWidth="1"/>
    <col min="4105" max="4105" width="65.140625" style="7" customWidth="1"/>
    <col min="4106" max="4107" width="10.140625" style="7" customWidth="1"/>
    <col min="4108" max="4108" width="11.7109375" style="7" customWidth="1"/>
    <col min="4109" max="4109" width="13.85546875" style="7" customWidth="1"/>
    <col min="4110" max="4110" width="16.7109375" style="7" customWidth="1"/>
    <col min="4111" max="4111" width="16.5703125" style="7" customWidth="1"/>
    <col min="4112" max="4112" width="15.140625" style="7" customWidth="1"/>
    <col min="4113" max="4113" width="19.7109375" style="7" customWidth="1"/>
    <col min="4114" max="4114" width="19.5703125" style="7" customWidth="1"/>
    <col min="4115" max="4115" width="13.7109375" style="7" customWidth="1"/>
    <col min="4116" max="4116" width="34.42578125" style="7" customWidth="1"/>
    <col min="4117" max="4117" width="26.7109375" style="7" customWidth="1"/>
    <col min="4118" max="4118" width="15.28515625" style="7" customWidth="1"/>
    <col min="4119" max="4119" width="9.140625" style="7"/>
    <col min="4120" max="4120" width="18.28515625" style="7" customWidth="1"/>
    <col min="4121" max="4356" width="9.140625" style="7"/>
    <col min="4357" max="4357" width="4.28515625" style="7" customWidth="1"/>
    <col min="4358" max="4358" width="52.7109375" style="7" customWidth="1"/>
    <col min="4359" max="4359" width="9.28515625" style="7" customWidth="1"/>
    <col min="4360" max="4360" width="17.7109375" style="7" customWidth="1"/>
    <col min="4361" max="4361" width="65.140625" style="7" customWidth="1"/>
    <col min="4362" max="4363" width="10.140625" style="7" customWidth="1"/>
    <col min="4364" max="4364" width="11.7109375" style="7" customWidth="1"/>
    <col min="4365" max="4365" width="13.85546875" style="7" customWidth="1"/>
    <col min="4366" max="4366" width="16.7109375" style="7" customWidth="1"/>
    <col min="4367" max="4367" width="16.5703125" style="7" customWidth="1"/>
    <col min="4368" max="4368" width="15.140625" style="7" customWidth="1"/>
    <col min="4369" max="4369" width="19.7109375" style="7" customWidth="1"/>
    <col min="4370" max="4370" width="19.5703125" style="7" customWidth="1"/>
    <col min="4371" max="4371" width="13.7109375" style="7" customWidth="1"/>
    <col min="4372" max="4372" width="34.42578125" style="7" customWidth="1"/>
    <col min="4373" max="4373" width="26.7109375" style="7" customWidth="1"/>
    <col min="4374" max="4374" width="15.28515625" style="7" customWidth="1"/>
    <col min="4375" max="4375" width="9.140625" style="7"/>
    <col min="4376" max="4376" width="18.28515625" style="7" customWidth="1"/>
    <col min="4377" max="4612" width="9.140625" style="7"/>
    <col min="4613" max="4613" width="4.28515625" style="7" customWidth="1"/>
    <col min="4614" max="4614" width="52.7109375" style="7" customWidth="1"/>
    <col min="4615" max="4615" width="9.28515625" style="7" customWidth="1"/>
    <col min="4616" max="4616" width="17.7109375" style="7" customWidth="1"/>
    <col min="4617" max="4617" width="65.140625" style="7" customWidth="1"/>
    <col min="4618" max="4619" width="10.140625" style="7" customWidth="1"/>
    <col min="4620" max="4620" width="11.7109375" style="7" customWidth="1"/>
    <col min="4621" max="4621" width="13.85546875" style="7" customWidth="1"/>
    <col min="4622" max="4622" width="16.7109375" style="7" customWidth="1"/>
    <col min="4623" max="4623" width="16.5703125" style="7" customWidth="1"/>
    <col min="4624" max="4624" width="15.140625" style="7" customWidth="1"/>
    <col min="4625" max="4625" width="19.7109375" style="7" customWidth="1"/>
    <col min="4626" max="4626" width="19.5703125" style="7" customWidth="1"/>
    <col min="4627" max="4627" width="13.7109375" style="7" customWidth="1"/>
    <col min="4628" max="4628" width="34.42578125" style="7" customWidth="1"/>
    <col min="4629" max="4629" width="26.7109375" style="7" customWidth="1"/>
    <col min="4630" max="4630" width="15.28515625" style="7" customWidth="1"/>
    <col min="4631" max="4631" width="9.140625" style="7"/>
    <col min="4632" max="4632" width="18.28515625" style="7" customWidth="1"/>
    <col min="4633" max="4868" width="9.140625" style="7"/>
    <col min="4869" max="4869" width="4.28515625" style="7" customWidth="1"/>
    <col min="4870" max="4870" width="52.7109375" style="7" customWidth="1"/>
    <col min="4871" max="4871" width="9.28515625" style="7" customWidth="1"/>
    <col min="4872" max="4872" width="17.7109375" style="7" customWidth="1"/>
    <col min="4873" max="4873" width="65.140625" style="7" customWidth="1"/>
    <col min="4874" max="4875" width="10.140625" style="7" customWidth="1"/>
    <col min="4876" max="4876" width="11.7109375" style="7" customWidth="1"/>
    <col min="4877" max="4877" width="13.85546875" style="7" customWidth="1"/>
    <col min="4878" max="4878" width="16.7109375" style="7" customWidth="1"/>
    <col min="4879" max="4879" width="16.5703125" style="7" customWidth="1"/>
    <col min="4880" max="4880" width="15.140625" style="7" customWidth="1"/>
    <col min="4881" max="4881" width="19.7109375" style="7" customWidth="1"/>
    <col min="4882" max="4882" width="19.5703125" style="7" customWidth="1"/>
    <col min="4883" max="4883" width="13.7109375" style="7" customWidth="1"/>
    <col min="4884" max="4884" width="34.42578125" style="7" customWidth="1"/>
    <col min="4885" max="4885" width="26.7109375" style="7" customWidth="1"/>
    <col min="4886" max="4886" width="15.28515625" style="7" customWidth="1"/>
    <col min="4887" max="4887" width="9.140625" style="7"/>
    <col min="4888" max="4888" width="18.28515625" style="7" customWidth="1"/>
    <col min="4889" max="5124" width="9.140625" style="7"/>
    <col min="5125" max="5125" width="4.28515625" style="7" customWidth="1"/>
    <col min="5126" max="5126" width="52.7109375" style="7" customWidth="1"/>
    <col min="5127" max="5127" width="9.28515625" style="7" customWidth="1"/>
    <col min="5128" max="5128" width="17.7109375" style="7" customWidth="1"/>
    <col min="5129" max="5129" width="65.140625" style="7" customWidth="1"/>
    <col min="5130" max="5131" width="10.140625" style="7" customWidth="1"/>
    <col min="5132" max="5132" width="11.7109375" style="7" customWidth="1"/>
    <col min="5133" max="5133" width="13.85546875" style="7" customWidth="1"/>
    <col min="5134" max="5134" width="16.7109375" style="7" customWidth="1"/>
    <col min="5135" max="5135" width="16.5703125" style="7" customWidth="1"/>
    <col min="5136" max="5136" width="15.140625" style="7" customWidth="1"/>
    <col min="5137" max="5137" width="19.7109375" style="7" customWidth="1"/>
    <col min="5138" max="5138" width="19.5703125" style="7" customWidth="1"/>
    <col min="5139" max="5139" width="13.7109375" style="7" customWidth="1"/>
    <col min="5140" max="5140" width="34.42578125" style="7" customWidth="1"/>
    <col min="5141" max="5141" width="26.7109375" style="7" customWidth="1"/>
    <col min="5142" max="5142" width="15.28515625" style="7" customWidth="1"/>
    <col min="5143" max="5143" width="9.140625" style="7"/>
    <col min="5144" max="5144" width="18.28515625" style="7" customWidth="1"/>
    <col min="5145" max="5380" width="9.140625" style="7"/>
    <col min="5381" max="5381" width="4.28515625" style="7" customWidth="1"/>
    <col min="5382" max="5382" width="52.7109375" style="7" customWidth="1"/>
    <col min="5383" max="5383" width="9.28515625" style="7" customWidth="1"/>
    <col min="5384" max="5384" width="17.7109375" style="7" customWidth="1"/>
    <col min="5385" max="5385" width="65.140625" style="7" customWidth="1"/>
    <col min="5386" max="5387" width="10.140625" style="7" customWidth="1"/>
    <col min="5388" max="5388" width="11.7109375" style="7" customWidth="1"/>
    <col min="5389" max="5389" width="13.85546875" style="7" customWidth="1"/>
    <col min="5390" max="5390" width="16.7109375" style="7" customWidth="1"/>
    <col min="5391" max="5391" width="16.5703125" style="7" customWidth="1"/>
    <col min="5392" max="5392" width="15.140625" style="7" customWidth="1"/>
    <col min="5393" max="5393" width="19.7109375" style="7" customWidth="1"/>
    <col min="5394" max="5394" width="19.5703125" style="7" customWidth="1"/>
    <col min="5395" max="5395" width="13.7109375" style="7" customWidth="1"/>
    <col min="5396" max="5396" width="34.42578125" style="7" customWidth="1"/>
    <col min="5397" max="5397" width="26.7109375" style="7" customWidth="1"/>
    <col min="5398" max="5398" width="15.28515625" style="7" customWidth="1"/>
    <col min="5399" max="5399" width="9.140625" style="7"/>
    <col min="5400" max="5400" width="18.28515625" style="7" customWidth="1"/>
    <col min="5401" max="5636" width="9.140625" style="7"/>
    <col min="5637" max="5637" width="4.28515625" style="7" customWidth="1"/>
    <col min="5638" max="5638" width="52.7109375" style="7" customWidth="1"/>
    <col min="5639" max="5639" width="9.28515625" style="7" customWidth="1"/>
    <col min="5640" max="5640" width="17.7109375" style="7" customWidth="1"/>
    <col min="5641" max="5641" width="65.140625" style="7" customWidth="1"/>
    <col min="5642" max="5643" width="10.140625" style="7" customWidth="1"/>
    <col min="5644" max="5644" width="11.7109375" style="7" customWidth="1"/>
    <col min="5645" max="5645" width="13.85546875" style="7" customWidth="1"/>
    <col min="5646" max="5646" width="16.7109375" style="7" customWidth="1"/>
    <col min="5647" max="5647" width="16.5703125" style="7" customWidth="1"/>
    <col min="5648" max="5648" width="15.140625" style="7" customWidth="1"/>
    <col min="5649" max="5649" width="19.7109375" style="7" customWidth="1"/>
    <col min="5650" max="5650" width="19.5703125" style="7" customWidth="1"/>
    <col min="5651" max="5651" width="13.7109375" style="7" customWidth="1"/>
    <col min="5652" max="5652" width="34.42578125" style="7" customWidth="1"/>
    <col min="5653" max="5653" width="26.7109375" style="7" customWidth="1"/>
    <col min="5654" max="5654" width="15.28515625" style="7" customWidth="1"/>
    <col min="5655" max="5655" width="9.140625" style="7"/>
    <col min="5656" max="5656" width="18.28515625" style="7" customWidth="1"/>
    <col min="5657" max="5892" width="9.140625" style="7"/>
    <col min="5893" max="5893" width="4.28515625" style="7" customWidth="1"/>
    <col min="5894" max="5894" width="52.7109375" style="7" customWidth="1"/>
    <col min="5895" max="5895" width="9.28515625" style="7" customWidth="1"/>
    <col min="5896" max="5896" width="17.7109375" style="7" customWidth="1"/>
    <col min="5897" max="5897" width="65.140625" style="7" customWidth="1"/>
    <col min="5898" max="5899" width="10.140625" style="7" customWidth="1"/>
    <col min="5900" max="5900" width="11.7109375" style="7" customWidth="1"/>
    <col min="5901" max="5901" width="13.85546875" style="7" customWidth="1"/>
    <col min="5902" max="5902" width="16.7109375" style="7" customWidth="1"/>
    <col min="5903" max="5903" width="16.5703125" style="7" customWidth="1"/>
    <col min="5904" max="5904" width="15.140625" style="7" customWidth="1"/>
    <col min="5905" max="5905" width="19.7109375" style="7" customWidth="1"/>
    <col min="5906" max="5906" width="19.5703125" style="7" customWidth="1"/>
    <col min="5907" max="5907" width="13.7109375" style="7" customWidth="1"/>
    <col min="5908" max="5908" width="34.42578125" style="7" customWidth="1"/>
    <col min="5909" max="5909" width="26.7109375" style="7" customWidth="1"/>
    <col min="5910" max="5910" width="15.28515625" style="7" customWidth="1"/>
    <col min="5911" max="5911" width="9.140625" style="7"/>
    <col min="5912" max="5912" width="18.28515625" style="7" customWidth="1"/>
    <col min="5913" max="6148" width="9.140625" style="7"/>
    <col min="6149" max="6149" width="4.28515625" style="7" customWidth="1"/>
    <col min="6150" max="6150" width="52.7109375" style="7" customWidth="1"/>
    <col min="6151" max="6151" width="9.28515625" style="7" customWidth="1"/>
    <col min="6152" max="6152" width="17.7109375" style="7" customWidth="1"/>
    <col min="6153" max="6153" width="65.140625" style="7" customWidth="1"/>
    <col min="6154" max="6155" width="10.140625" style="7" customWidth="1"/>
    <col min="6156" max="6156" width="11.7109375" style="7" customWidth="1"/>
    <col min="6157" max="6157" width="13.85546875" style="7" customWidth="1"/>
    <col min="6158" max="6158" width="16.7109375" style="7" customWidth="1"/>
    <col min="6159" max="6159" width="16.5703125" style="7" customWidth="1"/>
    <col min="6160" max="6160" width="15.140625" style="7" customWidth="1"/>
    <col min="6161" max="6161" width="19.7109375" style="7" customWidth="1"/>
    <col min="6162" max="6162" width="19.5703125" style="7" customWidth="1"/>
    <col min="6163" max="6163" width="13.7109375" style="7" customWidth="1"/>
    <col min="6164" max="6164" width="34.42578125" style="7" customWidth="1"/>
    <col min="6165" max="6165" width="26.7109375" style="7" customWidth="1"/>
    <col min="6166" max="6166" width="15.28515625" style="7" customWidth="1"/>
    <col min="6167" max="6167" width="9.140625" style="7"/>
    <col min="6168" max="6168" width="18.28515625" style="7" customWidth="1"/>
    <col min="6169" max="6404" width="9.140625" style="7"/>
    <col min="6405" max="6405" width="4.28515625" style="7" customWidth="1"/>
    <col min="6406" max="6406" width="52.7109375" style="7" customWidth="1"/>
    <col min="6407" max="6407" width="9.28515625" style="7" customWidth="1"/>
    <col min="6408" max="6408" width="17.7109375" style="7" customWidth="1"/>
    <col min="6409" max="6409" width="65.140625" style="7" customWidth="1"/>
    <col min="6410" max="6411" width="10.140625" style="7" customWidth="1"/>
    <col min="6412" max="6412" width="11.7109375" style="7" customWidth="1"/>
    <col min="6413" max="6413" width="13.85546875" style="7" customWidth="1"/>
    <col min="6414" max="6414" width="16.7109375" style="7" customWidth="1"/>
    <col min="6415" max="6415" width="16.5703125" style="7" customWidth="1"/>
    <col min="6416" max="6416" width="15.140625" style="7" customWidth="1"/>
    <col min="6417" max="6417" width="19.7109375" style="7" customWidth="1"/>
    <col min="6418" max="6418" width="19.5703125" style="7" customWidth="1"/>
    <col min="6419" max="6419" width="13.7109375" style="7" customWidth="1"/>
    <col min="6420" max="6420" width="34.42578125" style="7" customWidth="1"/>
    <col min="6421" max="6421" width="26.7109375" style="7" customWidth="1"/>
    <col min="6422" max="6422" width="15.28515625" style="7" customWidth="1"/>
    <col min="6423" max="6423" width="9.140625" style="7"/>
    <col min="6424" max="6424" width="18.28515625" style="7" customWidth="1"/>
    <col min="6425" max="6660" width="9.140625" style="7"/>
    <col min="6661" max="6661" width="4.28515625" style="7" customWidth="1"/>
    <col min="6662" max="6662" width="52.7109375" style="7" customWidth="1"/>
    <col min="6663" max="6663" width="9.28515625" style="7" customWidth="1"/>
    <col min="6664" max="6664" width="17.7109375" style="7" customWidth="1"/>
    <col min="6665" max="6665" width="65.140625" style="7" customWidth="1"/>
    <col min="6666" max="6667" width="10.140625" style="7" customWidth="1"/>
    <col min="6668" max="6668" width="11.7109375" style="7" customWidth="1"/>
    <col min="6669" max="6669" width="13.85546875" style="7" customWidth="1"/>
    <col min="6670" max="6670" width="16.7109375" style="7" customWidth="1"/>
    <col min="6671" max="6671" width="16.5703125" style="7" customWidth="1"/>
    <col min="6672" max="6672" width="15.140625" style="7" customWidth="1"/>
    <col min="6673" max="6673" width="19.7109375" style="7" customWidth="1"/>
    <col min="6674" max="6674" width="19.5703125" style="7" customWidth="1"/>
    <col min="6675" max="6675" width="13.7109375" style="7" customWidth="1"/>
    <col min="6676" max="6676" width="34.42578125" style="7" customWidth="1"/>
    <col min="6677" max="6677" width="26.7109375" style="7" customWidth="1"/>
    <col min="6678" max="6678" width="15.28515625" style="7" customWidth="1"/>
    <col min="6679" max="6679" width="9.140625" style="7"/>
    <col min="6680" max="6680" width="18.28515625" style="7" customWidth="1"/>
    <col min="6681" max="6916" width="9.140625" style="7"/>
    <col min="6917" max="6917" width="4.28515625" style="7" customWidth="1"/>
    <col min="6918" max="6918" width="52.7109375" style="7" customWidth="1"/>
    <col min="6919" max="6919" width="9.28515625" style="7" customWidth="1"/>
    <col min="6920" max="6920" width="17.7109375" style="7" customWidth="1"/>
    <col min="6921" max="6921" width="65.140625" style="7" customWidth="1"/>
    <col min="6922" max="6923" width="10.140625" style="7" customWidth="1"/>
    <col min="6924" max="6924" width="11.7109375" style="7" customWidth="1"/>
    <col min="6925" max="6925" width="13.85546875" style="7" customWidth="1"/>
    <col min="6926" max="6926" width="16.7109375" style="7" customWidth="1"/>
    <col min="6927" max="6927" width="16.5703125" style="7" customWidth="1"/>
    <col min="6928" max="6928" width="15.140625" style="7" customWidth="1"/>
    <col min="6929" max="6929" width="19.7109375" style="7" customWidth="1"/>
    <col min="6930" max="6930" width="19.5703125" style="7" customWidth="1"/>
    <col min="6931" max="6931" width="13.7109375" style="7" customWidth="1"/>
    <col min="6932" max="6932" width="34.42578125" style="7" customWidth="1"/>
    <col min="6933" max="6933" width="26.7109375" style="7" customWidth="1"/>
    <col min="6934" max="6934" width="15.28515625" style="7" customWidth="1"/>
    <col min="6935" max="6935" width="9.140625" style="7"/>
    <col min="6936" max="6936" width="18.28515625" style="7" customWidth="1"/>
    <col min="6937" max="7172" width="9.140625" style="7"/>
    <col min="7173" max="7173" width="4.28515625" style="7" customWidth="1"/>
    <col min="7174" max="7174" width="52.7109375" style="7" customWidth="1"/>
    <col min="7175" max="7175" width="9.28515625" style="7" customWidth="1"/>
    <col min="7176" max="7176" width="17.7109375" style="7" customWidth="1"/>
    <col min="7177" max="7177" width="65.140625" style="7" customWidth="1"/>
    <col min="7178" max="7179" width="10.140625" style="7" customWidth="1"/>
    <col min="7180" max="7180" width="11.7109375" style="7" customWidth="1"/>
    <col min="7181" max="7181" width="13.85546875" style="7" customWidth="1"/>
    <col min="7182" max="7182" width="16.7109375" style="7" customWidth="1"/>
    <col min="7183" max="7183" width="16.5703125" style="7" customWidth="1"/>
    <col min="7184" max="7184" width="15.140625" style="7" customWidth="1"/>
    <col min="7185" max="7185" width="19.7109375" style="7" customWidth="1"/>
    <col min="7186" max="7186" width="19.5703125" style="7" customWidth="1"/>
    <col min="7187" max="7187" width="13.7109375" style="7" customWidth="1"/>
    <col min="7188" max="7188" width="34.42578125" style="7" customWidth="1"/>
    <col min="7189" max="7189" width="26.7109375" style="7" customWidth="1"/>
    <col min="7190" max="7190" width="15.28515625" style="7" customWidth="1"/>
    <col min="7191" max="7191" width="9.140625" style="7"/>
    <col min="7192" max="7192" width="18.28515625" style="7" customWidth="1"/>
    <col min="7193" max="7428" width="9.140625" style="7"/>
    <col min="7429" max="7429" width="4.28515625" style="7" customWidth="1"/>
    <col min="7430" max="7430" width="52.7109375" style="7" customWidth="1"/>
    <col min="7431" max="7431" width="9.28515625" style="7" customWidth="1"/>
    <col min="7432" max="7432" width="17.7109375" style="7" customWidth="1"/>
    <col min="7433" max="7433" width="65.140625" style="7" customWidth="1"/>
    <col min="7434" max="7435" width="10.140625" style="7" customWidth="1"/>
    <col min="7436" max="7436" width="11.7109375" style="7" customWidth="1"/>
    <col min="7437" max="7437" width="13.85546875" style="7" customWidth="1"/>
    <col min="7438" max="7438" width="16.7109375" style="7" customWidth="1"/>
    <col min="7439" max="7439" width="16.5703125" style="7" customWidth="1"/>
    <col min="7440" max="7440" width="15.140625" style="7" customWidth="1"/>
    <col min="7441" max="7441" width="19.7109375" style="7" customWidth="1"/>
    <col min="7442" max="7442" width="19.5703125" style="7" customWidth="1"/>
    <col min="7443" max="7443" width="13.7109375" style="7" customWidth="1"/>
    <col min="7444" max="7444" width="34.42578125" style="7" customWidth="1"/>
    <col min="7445" max="7445" width="26.7109375" style="7" customWidth="1"/>
    <col min="7446" max="7446" width="15.28515625" style="7" customWidth="1"/>
    <col min="7447" max="7447" width="9.140625" style="7"/>
    <col min="7448" max="7448" width="18.28515625" style="7" customWidth="1"/>
    <col min="7449" max="7684" width="9.140625" style="7"/>
    <col min="7685" max="7685" width="4.28515625" style="7" customWidth="1"/>
    <col min="7686" max="7686" width="52.7109375" style="7" customWidth="1"/>
    <col min="7687" max="7687" width="9.28515625" style="7" customWidth="1"/>
    <col min="7688" max="7688" width="17.7109375" style="7" customWidth="1"/>
    <col min="7689" max="7689" width="65.140625" style="7" customWidth="1"/>
    <col min="7690" max="7691" width="10.140625" style="7" customWidth="1"/>
    <col min="7692" max="7692" width="11.7109375" style="7" customWidth="1"/>
    <col min="7693" max="7693" width="13.85546875" style="7" customWidth="1"/>
    <col min="7694" max="7694" width="16.7109375" style="7" customWidth="1"/>
    <col min="7695" max="7695" width="16.5703125" style="7" customWidth="1"/>
    <col min="7696" max="7696" width="15.140625" style="7" customWidth="1"/>
    <col min="7697" max="7697" width="19.7109375" style="7" customWidth="1"/>
    <col min="7698" max="7698" width="19.5703125" style="7" customWidth="1"/>
    <col min="7699" max="7699" width="13.7109375" style="7" customWidth="1"/>
    <col min="7700" max="7700" width="34.42578125" style="7" customWidth="1"/>
    <col min="7701" max="7701" width="26.7109375" style="7" customWidth="1"/>
    <col min="7702" max="7702" width="15.28515625" style="7" customWidth="1"/>
    <col min="7703" max="7703" width="9.140625" style="7"/>
    <col min="7704" max="7704" width="18.28515625" style="7" customWidth="1"/>
    <col min="7705" max="7940" width="9.140625" style="7"/>
    <col min="7941" max="7941" width="4.28515625" style="7" customWidth="1"/>
    <col min="7942" max="7942" width="52.7109375" style="7" customWidth="1"/>
    <col min="7943" max="7943" width="9.28515625" style="7" customWidth="1"/>
    <col min="7944" max="7944" width="17.7109375" style="7" customWidth="1"/>
    <col min="7945" max="7945" width="65.140625" style="7" customWidth="1"/>
    <col min="7946" max="7947" width="10.140625" style="7" customWidth="1"/>
    <col min="7948" max="7948" width="11.7109375" style="7" customWidth="1"/>
    <col min="7949" max="7949" width="13.85546875" style="7" customWidth="1"/>
    <col min="7950" max="7950" width="16.7109375" style="7" customWidth="1"/>
    <col min="7951" max="7951" width="16.5703125" style="7" customWidth="1"/>
    <col min="7952" max="7952" width="15.140625" style="7" customWidth="1"/>
    <col min="7953" max="7953" width="19.7109375" style="7" customWidth="1"/>
    <col min="7954" max="7954" width="19.5703125" style="7" customWidth="1"/>
    <col min="7955" max="7955" width="13.7109375" style="7" customWidth="1"/>
    <col min="7956" max="7956" width="34.42578125" style="7" customWidth="1"/>
    <col min="7957" max="7957" width="26.7109375" style="7" customWidth="1"/>
    <col min="7958" max="7958" width="15.28515625" style="7" customWidth="1"/>
    <col min="7959" max="7959" width="9.140625" style="7"/>
    <col min="7960" max="7960" width="18.28515625" style="7" customWidth="1"/>
    <col min="7961" max="8196" width="9.140625" style="7"/>
    <col min="8197" max="8197" width="4.28515625" style="7" customWidth="1"/>
    <col min="8198" max="8198" width="52.7109375" style="7" customWidth="1"/>
    <col min="8199" max="8199" width="9.28515625" style="7" customWidth="1"/>
    <col min="8200" max="8200" width="17.7109375" style="7" customWidth="1"/>
    <col min="8201" max="8201" width="65.140625" style="7" customWidth="1"/>
    <col min="8202" max="8203" width="10.140625" style="7" customWidth="1"/>
    <col min="8204" max="8204" width="11.7109375" style="7" customWidth="1"/>
    <col min="8205" max="8205" width="13.85546875" style="7" customWidth="1"/>
    <col min="8206" max="8206" width="16.7109375" style="7" customWidth="1"/>
    <col min="8207" max="8207" width="16.5703125" style="7" customWidth="1"/>
    <col min="8208" max="8208" width="15.140625" style="7" customWidth="1"/>
    <col min="8209" max="8209" width="19.7109375" style="7" customWidth="1"/>
    <col min="8210" max="8210" width="19.5703125" style="7" customWidth="1"/>
    <col min="8211" max="8211" width="13.7109375" style="7" customWidth="1"/>
    <col min="8212" max="8212" width="34.42578125" style="7" customWidth="1"/>
    <col min="8213" max="8213" width="26.7109375" style="7" customWidth="1"/>
    <col min="8214" max="8214" width="15.28515625" style="7" customWidth="1"/>
    <col min="8215" max="8215" width="9.140625" style="7"/>
    <col min="8216" max="8216" width="18.28515625" style="7" customWidth="1"/>
    <col min="8217" max="8452" width="9.140625" style="7"/>
    <col min="8453" max="8453" width="4.28515625" style="7" customWidth="1"/>
    <col min="8454" max="8454" width="52.7109375" style="7" customWidth="1"/>
    <col min="8455" max="8455" width="9.28515625" style="7" customWidth="1"/>
    <col min="8456" max="8456" width="17.7109375" style="7" customWidth="1"/>
    <col min="8457" max="8457" width="65.140625" style="7" customWidth="1"/>
    <col min="8458" max="8459" width="10.140625" style="7" customWidth="1"/>
    <col min="8460" max="8460" width="11.7109375" style="7" customWidth="1"/>
    <col min="8461" max="8461" width="13.85546875" style="7" customWidth="1"/>
    <col min="8462" max="8462" width="16.7109375" style="7" customWidth="1"/>
    <col min="8463" max="8463" width="16.5703125" style="7" customWidth="1"/>
    <col min="8464" max="8464" width="15.140625" style="7" customWidth="1"/>
    <col min="8465" max="8465" width="19.7109375" style="7" customWidth="1"/>
    <col min="8466" max="8466" width="19.5703125" style="7" customWidth="1"/>
    <col min="8467" max="8467" width="13.7109375" style="7" customWidth="1"/>
    <col min="8468" max="8468" width="34.42578125" style="7" customWidth="1"/>
    <col min="8469" max="8469" width="26.7109375" style="7" customWidth="1"/>
    <col min="8470" max="8470" width="15.28515625" style="7" customWidth="1"/>
    <col min="8471" max="8471" width="9.140625" style="7"/>
    <col min="8472" max="8472" width="18.28515625" style="7" customWidth="1"/>
    <col min="8473" max="8708" width="9.140625" style="7"/>
    <col min="8709" max="8709" width="4.28515625" style="7" customWidth="1"/>
    <col min="8710" max="8710" width="52.7109375" style="7" customWidth="1"/>
    <col min="8711" max="8711" width="9.28515625" style="7" customWidth="1"/>
    <col min="8712" max="8712" width="17.7109375" style="7" customWidth="1"/>
    <col min="8713" max="8713" width="65.140625" style="7" customWidth="1"/>
    <col min="8714" max="8715" width="10.140625" style="7" customWidth="1"/>
    <col min="8716" max="8716" width="11.7109375" style="7" customWidth="1"/>
    <col min="8717" max="8717" width="13.85546875" style="7" customWidth="1"/>
    <col min="8718" max="8718" width="16.7109375" style="7" customWidth="1"/>
    <col min="8719" max="8719" width="16.5703125" style="7" customWidth="1"/>
    <col min="8720" max="8720" width="15.140625" style="7" customWidth="1"/>
    <col min="8721" max="8721" width="19.7109375" style="7" customWidth="1"/>
    <col min="8722" max="8722" width="19.5703125" style="7" customWidth="1"/>
    <col min="8723" max="8723" width="13.7109375" style="7" customWidth="1"/>
    <col min="8724" max="8724" width="34.42578125" style="7" customWidth="1"/>
    <col min="8725" max="8725" width="26.7109375" style="7" customWidth="1"/>
    <col min="8726" max="8726" width="15.28515625" style="7" customWidth="1"/>
    <col min="8727" max="8727" width="9.140625" style="7"/>
    <col min="8728" max="8728" width="18.28515625" style="7" customWidth="1"/>
    <col min="8729" max="8964" width="9.140625" style="7"/>
    <col min="8965" max="8965" width="4.28515625" style="7" customWidth="1"/>
    <col min="8966" max="8966" width="52.7109375" style="7" customWidth="1"/>
    <col min="8967" max="8967" width="9.28515625" style="7" customWidth="1"/>
    <col min="8968" max="8968" width="17.7109375" style="7" customWidth="1"/>
    <col min="8969" max="8969" width="65.140625" style="7" customWidth="1"/>
    <col min="8970" max="8971" width="10.140625" style="7" customWidth="1"/>
    <col min="8972" max="8972" width="11.7109375" style="7" customWidth="1"/>
    <col min="8973" max="8973" width="13.85546875" style="7" customWidth="1"/>
    <col min="8974" max="8974" width="16.7109375" style="7" customWidth="1"/>
    <col min="8975" max="8975" width="16.5703125" style="7" customWidth="1"/>
    <col min="8976" max="8976" width="15.140625" style="7" customWidth="1"/>
    <col min="8977" max="8977" width="19.7109375" style="7" customWidth="1"/>
    <col min="8978" max="8978" width="19.5703125" style="7" customWidth="1"/>
    <col min="8979" max="8979" width="13.7109375" style="7" customWidth="1"/>
    <col min="8980" max="8980" width="34.42578125" style="7" customWidth="1"/>
    <col min="8981" max="8981" width="26.7109375" style="7" customWidth="1"/>
    <col min="8982" max="8982" width="15.28515625" style="7" customWidth="1"/>
    <col min="8983" max="8983" width="9.140625" style="7"/>
    <col min="8984" max="8984" width="18.28515625" style="7" customWidth="1"/>
    <col min="8985" max="9220" width="9.140625" style="7"/>
    <col min="9221" max="9221" width="4.28515625" style="7" customWidth="1"/>
    <col min="9222" max="9222" width="52.7109375" style="7" customWidth="1"/>
    <col min="9223" max="9223" width="9.28515625" style="7" customWidth="1"/>
    <col min="9224" max="9224" width="17.7109375" style="7" customWidth="1"/>
    <col min="9225" max="9225" width="65.140625" style="7" customWidth="1"/>
    <col min="9226" max="9227" width="10.140625" style="7" customWidth="1"/>
    <col min="9228" max="9228" width="11.7109375" style="7" customWidth="1"/>
    <col min="9229" max="9229" width="13.85546875" style="7" customWidth="1"/>
    <col min="9230" max="9230" width="16.7109375" style="7" customWidth="1"/>
    <col min="9231" max="9231" width="16.5703125" style="7" customWidth="1"/>
    <col min="9232" max="9232" width="15.140625" style="7" customWidth="1"/>
    <col min="9233" max="9233" width="19.7109375" style="7" customWidth="1"/>
    <col min="9234" max="9234" width="19.5703125" style="7" customWidth="1"/>
    <col min="9235" max="9235" width="13.7109375" style="7" customWidth="1"/>
    <col min="9236" max="9236" width="34.42578125" style="7" customWidth="1"/>
    <col min="9237" max="9237" width="26.7109375" style="7" customWidth="1"/>
    <col min="9238" max="9238" width="15.28515625" style="7" customWidth="1"/>
    <col min="9239" max="9239" width="9.140625" style="7"/>
    <col min="9240" max="9240" width="18.28515625" style="7" customWidth="1"/>
    <col min="9241" max="9476" width="9.140625" style="7"/>
    <col min="9477" max="9477" width="4.28515625" style="7" customWidth="1"/>
    <col min="9478" max="9478" width="52.7109375" style="7" customWidth="1"/>
    <col min="9479" max="9479" width="9.28515625" style="7" customWidth="1"/>
    <col min="9480" max="9480" width="17.7109375" style="7" customWidth="1"/>
    <col min="9481" max="9481" width="65.140625" style="7" customWidth="1"/>
    <col min="9482" max="9483" width="10.140625" style="7" customWidth="1"/>
    <col min="9484" max="9484" width="11.7109375" style="7" customWidth="1"/>
    <col min="9485" max="9485" width="13.85546875" style="7" customWidth="1"/>
    <col min="9486" max="9486" width="16.7109375" style="7" customWidth="1"/>
    <col min="9487" max="9487" width="16.5703125" style="7" customWidth="1"/>
    <col min="9488" max="9488" width="15.140625" style="7" customWidth="1"/>
    <col min="9489" max="9489" width="19.7109375" style="7" customWidth="1"/>
    <col min="9490" max="9490" width="19.5703125" style="7" customWidth="1"/>
    <col min="9491" max="9491" width="13.7109375" style="7" customWidth="1"/>
    <col min="9492" max="9492" width="34.42578125" style="7" customWidth="1"/>
    <col min="9493" max="9493" width="26.7109375" style="7" customWidth="1"/>
    <col min="9494" max="9494" width="15.28515625" style="7" customWidth="1"/>
    <col min="9495" max="9495" width="9.140625" style="7"/>
    <col min="9496" max="9496" width="18.28515625" style="7" customWidth="1"/>
    <col min="9497" max="9732" width="9.140625" style="7"/>
    <col min="9733" max="9733" width="4.28515625" style="7" customWidth="1"/>
    <col min="9734" max="9734" width="52.7109375" style="7" customWidth="1"/>
    <col min="9735" max="9735" width="9.28515625" style="7" customWidth="1"/>
    <col min="9736" max="9736" width="17.7109375" style="7" customWidth="1"/>
    <col min="9737" max="9737" width="65.140625" style="7" customWidth="1"/>
    <col min="9738" max="9739" width="10.140625" style="7" customWidth="1"/>
    <col min="9740" max="9740" width="11.7109375" style="7" customWidth="1"/>
    <col min="9741" max="9741" width="13.85546875" style="7" customWidth="1"/>
    <col min="9742" max="9742" width="16.7109375" style="7" customWidth="1"/>
    <col min="9743" max="9743" width="16.5703125" style="7" customWidth="1"/>
    <col min="9744" max="9744" width="15.140625" style="7" customWidth="1"/>
    <col min="9745" max="9745" width="19.7109375" style="7" customWidth="1"/>
    <col min="9746" max="9746" width="19.5703125" style="7" customWidth="1"/>
    <col min="9747" max="9747" width="13.7109375" style="7" customWidth="1"/>
    <col min="9748" max="9748" width="34.42578125" style="7" customWidth="1"/>
    <col min="9749" max="9749" width="26.7109375" style="7" customWidth="1"/>
    <col min="9750" max="9750" width="15.28515625" style="7" customWidth="1"/>
    <col min="9751" max="9751" width="9.140625" style="7"/>
    <col min="9752" max="9752" width="18.28515625" style="7" customWidth="1"/>
    <col min="9753" max="9988" width="9.140625" style="7"/>
    <col min="9989" max="9989" width="4.28515625" style="7" customWidth="1"/>
    <col min="9990" max="9990" width="52.7109375" style="7" customWidth="1"/>
    <col min="9991" max="9991" width="9.28515625" style="7" customWidth="1"/>
    <col min="9992" max="9992" width="17.7109375" style="7" customWidth="1"/>
    <col min="9993" max="9993" width="65.140625" style="7" customWidth="1"/>
    <col min="9994" max="9995" width="10.140625" style="7" customWidth="1"/>
    <col min="9996" max="9996" width="11.7109375" style="7" customWidth="1"/>
    <col min="9997" max="9997" width="13.85546875" style="7" customWidth="1"/>
    <col min="9998" max="9998" width="16.7109375" style="7" customWidth="1"/>
    <col min="9999" max="9999" width="16.5703125" style="7" customWidth="1"/>
    <col min="10000" max="10000" width="15.140625" style="7" customWidth="1"/>
    <col min="10001" max="10001" width="19.7109375" style="7" customWidth="1"/>
    <col min="10002" max="10002" width="19.5703125" style="7" customWidth="1"/>
    <col min="10003" max="10003" width="13.7109375" style="7" customWidth="1"/>
    <col min="10004" max="10004" width="34.42578125" style="7" customWidth="1"/>
    <col min="10005" max="10005" width="26.7109375" style="7" customWidth="1"/>
    <col min="10006" max="10006" width="15.28515625" style="7" customWidth="1"/>
    <col min="10007" max="10007" width="9.140625" style="7"/>
    <col min="10008" max="10008" width="18.28515625" style="7" customWidth="1"/>
    <col min="10009" max="10244" width="9.140625" style="7"/>
    <col min="10245" max="10245" width="4.28515625" style="7" customWidth="1"/>
    <col min="10246" max="10246" width="52.7109375" style="7" customWidth="1"/>
    <col min="10247" max="10247" width="9.28515625" style="7" customWidth="1"/>
    <col min="10248" max="10248" width="17.7109375" style="7" customWidth="1"/>
    <col min="10249" max="10249" width="65.140625" style="7" customWidth="1"/>
    <col min="10250" max="10251" width="10.140625" style="7" customWidth="1"/>
    <col min="10252" max="10252" width="11.7109375" style="7" customWidth="1"/>
    <col min="10253" max="10253" width="13.85546875" style="7" customWidth="1"/>
    <col min="10254" max="10254" width="16.7109375" style="7" customWidth="1"/>
    <col min="10255" max="10255" width="16.5703125" style="7" customWidth="1"/>
    <col min="10256" max="10256" width="15.140625" style="7" customWidth="1"/>
    <col min="10257" max="10257" width="19.7109375" style="7" customWidth="1"/>
    <col min="10258" max="10258" width="19.5703125" style="7" customWidth="1"/>
    <col min="10259" max="10259" width="13.7109375" style="7" customWidth="1"/>
    <col min="10260" max="10260" width="34.42578125" style="7" customWidth="1"/>
    <col min="10261" max="10261" width="26.7109375" style="7" customWidth="1"/>
    <col min="10262" max="10262" width="15.28515625" style="7" customWidth="1"/>
    <col min="10263" max="10263" width="9.140625" style="7"/>
    <col min="10264" max="10264" width="18.28515625" style="7" customWidth="1"/>
    <col min="10265" max="10500" width="9.140625" style="7"/>
    <col min="10501" max="10501" width="4.28515625" style="7" customWidth="1"/>
    <col min="10502" max="10502" width="52.7109375" style="7" customWidth="1"/>
    <col min="10503" max="10503" width="9.28515625" style="7" customWidth="1"/>
    <col min="10504" max="10504" width="17.7109375" style="7" customWidth="1"/>
    <col min="10505" max="10505" width="65.140625" style="7" customWidth="1"/>
    <col min="10506" max="10507" width="10.140625" style="7" customWidth="1"/>
    <col min="10508" max="10508" width="11.7109375" style="7" customWidth="1"/>
    <col min="10509" max="10509" width="13.85546875" style="7" customWidth="1"/>
    <col min="10510" max="10510" width="16.7109375" style="7" customWidth="1"/>
    <col min="10511" max="10511" width="16.5703125" style="7" customWidth="1"/>
    <col min="10512" max="10512" width="15.140625" style="7" customWidth="1"/>
    <col min="10513" max="10513" width="19.7109375" style="7" customWidth="1"/>
    <col min="10514" max="10514" width="19.5703125" style="7" customWidth="1"/>
    <col min="10515" max="10515" width="13.7109375" style="7" customWidth="1"/>
    <col min="10516" max="10516" width="34.42578125" style="7" customWidth="1"/>
    <col min="10517" max="10517" width="26.7109375" style="7" customWidth="1"/>
    <col min="10518" max="10518" width="15.28515625" style="7" customWidth="1"/>
    <col min="10519" max="10519" width="9.140625" style="7"/>
    <col min="10520" max="10520" width="18.28515625" style="7" customWidth="1"/>
    <col min="10521" max="10756" width="9.140625" style="7"/>
    <col min="10757" max="10757" width="4.28515625" style="7" customWidth="1"/>
    <col min="10758" max="10758" width="52.7109375" style="7" customWidth="1"/>
    <col min="10759" max="10759" width="9.28515625" style="7" customWidth="1"/>
    <col min="10760" max="10760" width="17.7109375" style="7" customWidth="1"/>
    <col min="10761" max="10761" width="65.140625" style="7" customWidth="1"/>
    <col min="10762" max="10763" width="10.140625" style="7" customWidth="1"/>
    <col min="10764" max="10764" width="11.7109375" style="7" customWidth="1"/>
    <col min="10765" max="10765" width="13.85546875" style="7" customWidth="1"/>
    <col min="10766" max="10766" width="16.7109375" style="7" customWidth="1"/>
    <col min="10767" max="10767" width="16.5703125" style="7" customWidth="1"/>
    <col min="10768" max="10768" width="15.140625" style="7" customWidth="1"/>
    <col min="10769" max="10769" width="19.7109375" style="7" customWidth="1"/>
    <col min="10770" max="10770" width="19.5703125" style="7" customWidth="1"/>
    <col min="10771" max="10771" width="13.7109375" style="7" customWidth="1"/>
    <col min="10772" max="10772" width="34.42578125" style="7" customWidth="1"/>
    <col min="10773" max="10773" width="26.7109375" style="7" customWidth="1"/>
    <col min="10774" max="10774" width="15.28515625" style="7" customWidth="1"/>
    <col min="10775" max="10775" width="9.140625" style="7"/>
    <col min="10776" max="10776" width="18.28515625" style="7" customWidth="1"/>
    <col min="10777" max="11012" width="9.140625" style="7"/>
    <col min="11013" max="11013" width="4.28515625" style="7" customWidth="1"/>
    <col min="11014" max="11014" width="52.7109375" style="7" customWidth="1"/>
    <col min="11015" max="11015" width="9.28515625" style="7" customWidth="1"/>
    <col min="11016" max="11016" width="17.7109375" style="7" customWidth="1"/>
    <col min="11017" max="11017" width="65.140625" style="7" customWidth="1"/>
    <col min="11018" max="11019" width="10.140625" style="7" customWidth="1"/>
    <col min="11020" max="11020" width="11.7109375" style="7" customWidth="1"/>
    <col min="11021" max="11021" width="13.85546875" style="7" customWidth="1"/>
    <col min="11022" max="11022" width="16.7109375" style="7" customWidth="1"/>
    <col min="11023" max="11023" width="16.5703125" style="7" customWidth="1"/>
    <col min="11024" max="11024" width="15.140625" style="7" customWidth="1"/>
    <col min="11025" max="11025" width="19.7109375" style="7" customWidth="1"/>
    <col min="11026" max="11026" width="19.5703125" style="7" customWidth="1"/>
    <col min="11027" max="11027" width="13.7109375" style="7" customWidth="1"/>
    <col min="11028" max="11028" width="34.42578125" style="7" customWidth="1"/>
    <col min="11029" max="11029" width="26.7109375" style="7" customWidth="1"/>
    <col min="11030" max="11030" width="15.28515625" style="7" customWidth="1"/>
    <col min="11031" max="11031" width="9.140625" style="7"/>
    <col min="11032" max="11032" width="18.28515625" style="7" customWidth="1"/>
    <col min="11033" max="11268" width="9.140625" style="7"/>
    <col min="11269" max="11269" width="4.28515625" style="7" customWidth="1"/>
    <col min="11270" max="11270" width="52.7109375" style="7" customWidth="1"/>
    <col min="11271" max="11271" width="9.28515625" style="7" customWidth="1"/>
    <col min="11272" max="11272" width="17.7109375" style="7" customWidth="1"/>
    <col min="11273" max="11273" width="65.140625" style="7" customWidth="1"/>
    <col min="11274" max="11275" width="10.140625" style="7" customWidth="1"/>
    <col min="11276" max="11276" width="11.7109375" style="7" customWidth="1"/>
    <col min="11277" max="11277" width="13.85546875" style="7" customWidth="1"/>
    <col min="11278" max="11278" width="16.7109375" style="7" customWidth="1"/>
    <col min="11279" max="11279" width="16.5703125" style="7" customWidth="1"/>
    <col min="11280" max="11280" width="15.140625" style="7" customWidth="1"/>
    <col min="11281" max="11281" width="19.7109375" style="7" customWidth="1"/>
    <col min="11282" max="11282" width="19.5703125" style="7" customWidth="1"/>
    <col min="11283" max="11283" width="13.7109375" style="7" customWidth="1"/>
    <col min="11284" max="11284" width="34.42578125" style="7" customWidth="1"/>
    <col min="11285" max="11285" width="26.7109375" style="7" customWidth="1"/>
    <col min="11286" max="11286" width="15.28515625" style="7" customWidth="1"/>
    <col min="11287" max="11287" width="9.140625" style="7"/>
    <col min="11288" max="11288" width="18.28515625" style="7" customWidth="1"/>
    <col min="11289" max="11524" width="9.140625" style="7"/>
    <col min="11525" max="11525" width="4.28515625" style="7" customWidth="1"/>
    <col min="11526" max="11526" width="52.7109375" style="7" customWidth="1"/>
    <col min="11527" max="11527" width="9.28515625" style="7" customWidth="1"/>
    <col min="11528" max="11528" width="17.7109375" style="7" customWidth="1"/>
    <col min="11529" max="11529" width="65.140625" style="7" customWidth="1"/>
    <col min="11530" max="11531" width="10.140625" style="7" customWidth="1"/>
    <col min="11532" max="11532" width="11.7109375" style="7" customWidth="1"/>
    <col min="11533" max="11533" width="13.85546875" style="7" customWidth="1"/>
    <col min="11534" max="11534" width="16.7109375" style="7" customWidth="1"/>
    <col min="11535" max="11535" width="16.5703125" style="7" customWidth="1"/>
    <col min="11536" max="11536" width="15.140625" style="7" customWidth="1"/>
    <col min="11537" max="11537" width="19.7109375" style="7" customWidth="1"/>
    <col min="11538" max="11538" width="19.5703125" style="7" customWidth="1"/>
    <col min="11539" max="11539" width="13.7109375" style="7" customWidth="1"/>
    <col min="11540" max="11540" width="34.42578125" style="7" customWidth="1"/>
    <col min="11541" max="11541" width="26.7109375" style="7" customWidth="1"/>
    <col min="11542" max="11542" width="15.28515625" style="7" customWidth="1"/>
    <col min="11543" max="11543" width="9.140625" style="7"/>
    <col min="11544" max="11544" width="18.28515625" style="7" customWidth="1"/>
    <col min="11545" max="11780" width="9.140625" style="7"/>
    <col min="11781" max="11781" width="4.28515625" style="7" customWidth="1"/>
    <col min="11782" max="11782" width="52.7109375" style="7" customWidth="1"/>
    <col min="11783" max="11783" width="9.28515625" style="7" customWidth="1"/>
    <col min="11784" max="11784" width="17.7109375" style="7" customWidth="1"/>
    <col min="11785" max="11785" width="65.140625" style="7" customWidth="1"/>
    <col min="11786" max="11787" width="10.140625" style="7" customWidth="1"/>
    <col min="11788" max="11788" width="11.7109375" style="7" customWidth="1"/>
    <col min="11789" max="11789" width="13.85546875" style="7" customWidth="1"/>
    <col min="11790" max="11790" width="16.7109375" style="7" customWidth="1"/>
    <col min="11791" max="11791" width="16.5703125" style="7" customWidth="1"/>
    <col min="11792" max="11792" width="15.140625" style="7" customWidth="1"/>
    <col min="11793" max="11793" width="19.7109375" style="7" customWidth="1"/>
    <col min="11794" max="11794" width="19.5703125" style="7" customWidth="1"/>
    <col min="11795" max="11795" width="13.7109375" style="7" customWidth="1"/>
    <col min="11796" max="11796" width="34.42578125" style="7" customWidth="1"/>
    <col min="11797" max="11797" width="26.7109375" style="7" customWidth="1"/>
    <col min="11798" max="11798" width="15.28515625" style="7" customWidth="1"/>
    <col min="11799" max="11799" width="9.140625" style="7"/>
    <col min="11800" max="11800" width="18.28515625" style="7" customWidth="1"/>
    <col min="11801" max="12036" width="9.140625" style="7"/>
    <col min="12037" max="12037" width="4.28515625" style="7" customWidth="1"/>
    <col min="12038" max="12038" width="52.7109375" style="7" customWidth="1"/>
    <col min="12039" max="12039" width="9.28515625" style="7" customWidth="1"/>
    <col min="12040" max="12040" width="17.7109375" style="7" customWidth="1"/>
    <col min="12041" max="12041" width="65.140625" style="7" customWidth="1"/>
    <col min="12042" max="12043" width="10.140625" style="7" customWidth="1"/>
    <col min="12044" max="12044" width="11.7109375" style="7" customWidth="1"/>
    <col min="12045" max="12045" width="13.85546875" style="7" customWidth="1"/>
    <col min="12046" max="12046" width="16.7109375" style="7" customWidth="1"/>
    <col min="12047" max="12047" width="16.5703125" style="7" customWidth="1"/>
    <col min="12048" max="12048" width="15.140625" style="7" customWidth="1"/>
    <col min="12049" max="12049" width="19.7109375" style="7" customWidth="1"/>
    <col min="12050" max="12050" width="19.5703125" style="7" customWidth="1"/>
    <col min="12051" max="12051" width="13.7109375" style="7" customWidth="1"/>
    <col min="12052" max="12052" width="34.42578125" style="7" customWidth="1"/>
    <col min="12053" max="12053" width="26.7109375" style="7" customWidth="1"/>
    <col min="12054" max="12054" width="15.28515625" style="7" customWidth="1"/>
    <col min="12055" max="12055" width="9.140625" style="7"/>
    <col min="12056" max="12056" width="18.28515625" style="7" customWidth="1"/>
    <col min="12057" max="12292" width="9.140625" style="7"/>
    <col min="12293" max="12293" width="4.28515625" style="7" customWidth="1"/>
    <col min="12294" max="12294" width="52.7109375" style="7" customWidth="1"/>
    <col min="12295" max="12295" width="9.28515625" style="7" customWidth="1"/>
    <col min="12296" max="12296" width="17.7109375" style="7" customWidth="1"/>
    <col min="12297" max="12297" width="65.140625" style="7" customWidth="1"/>
    <col min="12298" max="12299" width="10.140625" style="7" customWidth="1"/>
    <col min="12300" max="12300" width="11.7109375" style="7" customWidth="1"/>
    <col min="12301" max="12301" width="13.85546875" style="7" customWidth="1"/>
    <col min="12302" max="12302" width="16.7109375" style="7" customWidth="1"/>
    <col min="12303" max="12303" width="16.5703125" style="7" customWidth="1"/>
    <col min="12304" max="12304" width="15.140625" style="7" customWidth="1"/>
    <col min="12305" max="12305" width="19.7109375" style="7" customWidth="1"/>
    <col min="12306" max="12306" width="19.5703125" style="7" customWidth="1"/>
    <col min="12307" max="12307" width="13.7109375" style="7" customWidth="1"/>
    <col min="12308" max="12308" width="34.42578125" style="7" customWidth="1"/>
    <col min="12309" max="12309" width="26.7109375" style="7" customWidth="1"/>
    <col min="12310" max="12310" width="15.28515625" style="7" customWidth="1"/>
    <col min="12311" max="12311" width="9.140625" style="7"/>
    <col min="12312" max="12312" width="18.28515625" style="7" customWidth="1"/>
    <col min="12313" max="12548" width="9.140625" style="7"/>
    <col min="12549" max="12549" width="4.28515625" style="7" customWidth="1"/>
    <col min="12550" max="12550" width="52.7109375" style="7" customWidth="1"/>
    <col min="12551" max="12551" width="9.28515625" style="7" customWidth="1"/>
    <col min="12552" max="12552" width="17.7109375" style="7" customWidth="1"/>
    <col min="12553" max="12553" width="65.140625" style="7" customWidth="1"/>
    <col min="12554" max="12555" width="10.140625" style="7" customWidth="1"/>
    <col min="12556" max="12556" width="11.7109375" style="7" customWidth="1"/>
    <col min="12557" max="12557" width="13.85546875" style="7" customWidth="1"/>
    <col min="12558" max="12558" width="16.7109375" style="7" customWidth="1"/>
    <col min="12559" max="12559" width="16.5703125" style="7" customWidth="1"/>
    <col min="12560" max="12560" width="15.140625" style="7" customWidth="1"/>
    <col min="12561" max="12561" width="19.7109375" style="7" customWidth="1"/>
    <col min="12562" max="12562" width="19.5703125" style="7" customWidth="1"/>
    <col min="12563" max="12563" width="13.7109375" style="7" customWidth="1"/>
    <col min="12564" max="12564" width="34.42578125" style="7" customWidth="1"/>
    <col min="12565" max="12565" width="26.7109375" style="7" customWidth="1"/>
    <col min="12566" max="12566" width="15.28515625" style="7" customWidth="1"/>
    <col min="12567" max="12567" width="9.140625" style="7"/>
    <col min="12568" max="12568" width="18.28515625" style="7" customWidth="1"/>
    <col min="12569" max="12804" width="9.140625" style="7"/>
    <col min="12805" max="12805" width="4.28515625" style="7" customWidth="1"/>
    <col min="12806" max="12806" width="52.7109375" style="7" customWidth="1"/>
    <col min="12807" max="12807" width="9.28515625" style="7" customWidth="1"/>
    <col min="12808" max="12808" width="17.7109375" style="7" customWidth="1"/>
    <col min="12809" max="12809" width="65.140625" style="7" customWidth="1"/>
    <col min="12810" max="12811" width="10.140625" style="7" customWidth="1"/>
    <col min="12812" max="12812" width="11.7109375" style="7" customWidth="1"/>
    <col min="12813" max="12813" width="13.85546875" style="7" customWidth="1"/>
    <col min="12814" max="12814" width="16.7109375" style="7" customWidth="1"/>
    <col min="12815" max="12815" width="16.5703125" style="7" customWidth="1"/>
    <col min="12816" max="12816" width="15.140625" style="7" customWidth="1"/>
    <col min="12817" max="12817" width="19.7109375" style="7" customWidth="1"/>
    <col min="12818" max="12818" width="19.5703125" style="7" customWidth="1"/>
    <col min="12819" max="12819" width="13.7109375" style="7" customWidth="1"/>
    <col min="12820" max="12820" width="34.42578125" style="7" customWidth="1"/>
    <col min="12821" max="12821" width="26.7109375" style="7" customWidth="1"/>
    <col min="12822" max="12822" width="15.28515625" style="7" customWidth="1"/>
    <col min="12823" max="12823" width="9.140625" style="7"/>
    <col min="12824" max="12824" width="18.28515625" style="7" customWidth="1"/>
    <col min="12825" max="13060" width="9.140625" style="7"/>
    <col min="13061" max="13061" width="4.28515625" style="7" customWidth="1"/>
    <col min="13062" max="13062" width="52.7109375" style="7" customWidth="1"/>
    <col min="13063" max="13063" width="9.28515625" style="7" customWidth="1"/>
    <col min="13064" max="13064" width="17.7109375" style="7" customWidth="1"/>
    <col min="13065" max="13065" width="65.140625" style="7" customWidth="1"/>
    <col min="13066" max="13067" width="10.140625" style="7" customWidth="1"/>
    <col min="13068" max="13068" width="11.7109375" style="7" customWidth="1"/>
    <col min="13069" max="13069" width="13.85546875" style="7" customWidth="1"/>
    <col min="13070" max="13070" width="16.7109375" style="7" customWidth="1"/>
    <col min="13071" max="13071" width="16.5703125" style="7" customWidth="1"/>
    <col min="13072" max="13072" width="15.140625" style="7" customWidth="1"/>
    <col min="13073" max="13073" width="19.7109375" style="7" customWidth="1"/>
    <col min="13074" max="13074" width="19.5703125" style="7" customWidth="1"/>
    <col min="13075" max="13075" width="13.7109375" style="7" customWidth="1"/>
    <col min="13076" max="13076" width="34.42578125" style="7" customWidth="1"/>
    <col min="13077" max="13077" width="26.7109375" style="7" customWidth="1"/>
    <col min="13078" max="13078" width="15.28515625" style="7" customWidth="1"/>
    <col min="13079" max="13079" width="9.140625" style="7"/>
    <col min="13080" max="13080" width="18.28515625" style="7" customWidth="1"/>
    <col min="13081" max="13316" width="9.140625" style="7"/>
    <col min="13317" max="13317" width="4.28515625" style="7" customWidth="1"/>
    <col min="13318" max="13318" width="52.7109375" style="7" customWidth="1"/>
    <col min="13319" max="13319" width="9.28515625" style="7" customWidth="1"/>
    <col min="13320" max="13320" width="17.7109375" style="7" customWidth="1"/>
    <col min="13321" max="13321" width="65.140625" style="7" customWidth="1"/>
    <col min="13322" max="13323" width="10.140625" style="7" customWidth="1"/>
    <col min="13324" max="13324" width="11.7109375" style="7" customWidth="1"/>
    <col min="13325" max="13325" width="13.85546875" style="7" customWidth="1"/>
    <col min="13326" max="13326" width="16.7109375" style="7" customWidth="1"/>
    <col min="13327" max="13327" width="16.5703125" style="7" customWidth="1"/>
    <col min="13328" max="13328" width="15.140625" style="7" customWidth="1"/>
    <col min="13329" max="13329" width="19.7109375" style="7" customWidth="1"/>
    <col min="13330" max="13330" width="19.5703125" style="7" customWidth="1"/>
    <col min="13331" max="13331" width="13.7109375" style="7" customWidth="1"/>
    <col min="13332" max="13332" width="34.42578125" style="7" customWidth="1"/>
    <col min="13333" max="13333" width="26.7109375" style="7" customWidth="1"/>
    <col min="13334" max="13334" width="15.28515625" style="7" customWidth="1"/>
    <col min="13335" max="13335" width="9.140625" style="7"/>
    <col min="13336" max="13336" width="18.28515625" style="7" customWidth="1"/>
    <col min="13337" max="13572" width="9.140625" style="7"/>
    <col min="13573" max="13573" width="4.28515625" style="7" customWidth="1"/>
    <col min="13574" max="13574" width="52.7109375" style="7" customWidth="1"/>
    <col min="13575" max="13575" width="9.28515625" style="7" customWidth="1"/>
    <col min="13576" max="13576" width="17.7109375" style="7" customWidth="1"/>
    <col min="13577" max="13577" width="65.140625" style="7" customWidth="1"/>
    <col min="13578" max="13579" width="10.140625" style="7" customWidth="1"/>
    <col min="13580" max="13580" width="11.7109375" style="7" customWidth="1"/>
    <col min="13581" max="13581" width="13.85546875" style="7" customWidth="1"/>
    <col min="13582" max="13582" width="16.7109375" style="7" customWidth="1"/>
    <col min="13583" max="13583" width="16.5703125" style="7" customWidth="1"/>
    <col min="13584" max="13584" width="15.140625" style="7" customWidth="1"/>
    <col min="13585" max="13585" width="19.7109375" style="7" customWidth="1"/>
    <col min="13586" max="13586" width="19.5703125" style="7" customWidth="1"/>
    <col min="13587" max="13587" width="13.7109375" style="7" customWidth="1"/>
    <col min="13588" max="13588" width="34.42578125" style="7" customWidth="1"/>
    <col min="13589" max="13589" width="26.7109375" style="7" customWidth="1"/>
    <col min="13590" max="13590" width="15.28515625" style="7" customWidth="1"/>
    <col min="13591" max="13591" width="9.140625" style="7"/>
    <col min="13592" max="13592" width="18.28515625" style="7" customWidth="1"/>
    <col min="13593" max="13828" width="9.140625" style="7"/>
    <col min="13829" max="13829" width="4.28515625" style="7" customWidth="1"/>
    <col min="13830" max="13830" width="52.7109375" style="7" customWidth="1"/>
    <col min="13831" max="13831" width="9.28515625" style="7" customWidth="1"/>
    <col min="13832" max="13832" width="17.7109375" style="7" customWidth="1"/>
    <col min="13833" max="13833" width="65.140625" style="7" customWidth="1"/>
    <col min="13834" max="13835" width="10.140625" style="7" customWidth="1"/>
    <col min="13836" max="13836" width="11.7109375" style="7" customWidth="1"/>
    <col min="13837" max="13837" width="13.85546875" style="7" customWidth="1"/>
    <col min="13838" max="13838" width="16.7109375" style="7" customWidth="1"/>
    <col min="13839" max="13839" width="16.5703125" style="7" customWidth="1"/>
    <col min="13840" max="13840" width="15.140625" style="7" customWidth="1"/>
    <col min="13841" max="13841" width="19.7109375" style="7" customWidth="1"/>
    <col min="13842" max="13842" width="19.5703125" style="7" customWidth="1"/>
    <col min="13843" max="13843" width="13.7109375" style="7" customWidth="1"/>
    <col min="13844" max="13844" width="34.42578125" style="7" customWidth="1"/>
    <col min="13845" max="13845" width="26.7109375" style="7" customWidth="1"/>
    <col min="13846" max="13846" width="15.28515625" style="7" customWidth="1"/>
    <col min="13847" max="13847" width="9.140625" style="7"/>
    <col min="13848" max="13848" width="18.28515625" style="7" customWidth="1"/>
    <col min="13849" max="14084" width="9.140625" style="7"/>
    <col min="14085" max="14085" width="4.28515625" style="7" customWidth="1"/>
    <col min="14086" max="14086" width="52.7109375" style="7" customWidth="1"/>
    <col min="14087" max="14087" width="9.28515625" style="7" customWidth="1"/>
    <col min="14088" max="14088" width="17.7109375" style="7" customWidth="1"/>
    <col min="14089" max="14089" width="65.140625" style="7" customWidth="1"/>
    <col min="14090" max="14091" width="10.140625" style="7" customWidth="1"/>
    <col min="14092" max="14092" width="11.7109375" style="7" customWidth="1"/>
    <col min="14093" max="14093" width="13.85546875" style="7" customWidth="1"/>
    <col min="14094" max="14094" width="16.7109375" style="7" customWidth="1"/>
    <col min="14095" max="14095" width="16.5703125" style="7" customWidth="1"/>
    <col min="14096" max="14096" width="15.140625" style="7" customWidth="1"/>
    <col min="14097" max="14097" width="19.7109375" style="7" customWidth="1"/>
    <col min="14098" max="14098" width="19.5703125" style="7" customWidth="1"/>
    <col min="14099" max="14099" width="13.7109375" style="7" customWidth="1"/>
    <col min="14100" max="14100" width="34.42578125" style="7" customWidth="1"/>
    <col min="14101" max="14101" width="26.7109375" style="7" customWidth="1"/>
    <col min="14102" max="14102" width="15.28515625" style="7" customWidth="1"/>
    <col min="14103" max="14103" width="9.140625" style="7"/>
    <col min="14104" max="14104" width="18.28515625" style="7" customWidth="1"/>
    <col min="14105" max="14340" width="9.140625" style="7"/>
    <col min="14341" max="14341" width="4.28515625" style="7" customWidth="1"/>
    <col min="14342" max="14342" width="52.7109375" style="7" customWidth="1"/>
    <col min="14343" max="14343" width="9.28515625" style="7" customWidth="1"/>
    <col min="14344" max="14344" width="17.7109375" style="7" customWidth="1"/>
    <col min="14345" max="14345" width="65.140625" style="7" customWidth="1"/>
    <col min="14346" max="14347" width="10.140625" style="7" customWidth="1"/>
    <col min="14348" max="14348" width="11.7109375" style="7" customWidth="1"/>
    <col min="14349" max="14349" width="13.85546875" style="7" customWidth="1"/>
    <col min="14350" max="14350" width="16.7109375" style="7" customWidth="1"/>
    <col min="14351" max="14351" width="16.5703125" style="7" customWidth="1"/>
    <col min="14352" max="14352" width="15.140625" style="7" customWidth="1"/>
    <col min="14353" max="14353" width="19.7109375" style="7" customWidth="1"/>
    <col min="14354" max="14354" width="19.5703125" style="7" customWidth="1"/>
    <col min="14355" max="14355" width="13.7109375" style="7" customWidth="1"/>
    <col min="14356" max="14356" width="34.42578125" style="7" customWidth="1"/>
    <col min="14357" max="14357" width="26.7109375" style="7" customWidth="1"/>
    <col min="14358" max="14358" width="15.28515625" style="7" customWidth="1"/>
    <col min="14359" max="14359" width="9.140625" style="7"/>
    <col min="14360" max="14360" width="18.28515625" style="7" customWidth="1"/>
    <col min="14361" max="14596" width="9.140625" style="7"/>
    <col min="14597" max="14597" width="4.28515625" style="7" customWidth="1"/>
    <col min="14598" max="14598" width="52.7109375" style="7" customWidth="1"/>
    <col min="14599" max="14599" width="9.28515625" style="7" customWidth="1"/>
    <col min="14600" max="14600" width="17.7109375" style="7" customWidth="1"/>
    <col min="14601" max="14601" width="65.140625" style="7" customWidth="1"/>
    <col min="14602" max="14603" width="10.140625" style="7" customWidth="1"/>
    <col min="14604" max="14604" width="11.7109375" style="7" customWidth="1"/>
    <col min="14605" max="14605" width="13.85546875" style="7" customWidth="1"/>
    <col min="14606" max="14606" width="16.7109375" style="7" customWidth="1"/>
    <col min="14607" max="14607" width="16.5703125" style="7" customWidth="1"/>
    <col min="14608" max="14608" width="15.140625" style="7" customWidth="1"/>
    <col min="14609" max="14609" width="19.7109375" style="7" customWidth="1"/>
    <col min="14610" max="14610" width="19.5703125" style="7" customWidth="1"/>
    <col min="14611" max="14611" width="13.7109375" style="7" customWidth="1"/>
    <col min="14612" max="14612" width="34.42578125" style="7" customWidth="1"/>
    <col min="14613" max="14613" width="26.7109375" style="7" customWidth="1"/>
    <col min="14614" max="14614" width="15.28515625" style="7" customWidth="1"/>
    <col min="14615" max="14615" width="9.140625" style="7"/>
    <col min="14616" max="14616" width="18.28515625" style="7" customWidth="1"/>
    <col min="14617" max="14852" width="9.140625" style="7"/>
    <col min="14853" max="14853" width="4.28515625" style="7" customWidth="1"/>
    <col min="14854" max="14854" width="52.7109375" style="7" customWidth="1"/>
    <col min="14855" max="14855" width="9.28515625" style="7" customWidth="1"/>
    <col min="14856" max="14856" width="17.7109375" style="7" customWidth="1"/>
    <col min="14857" max="14857" width="65.140625" style="7" customWidth="1"/>
    <col min="14858" max="14859" width="10.140625" style="7" customWidth="1"/>
    <col min="14860" max="14860" width="11.7109375" style="7" customWidth="1"/>
    <col min="14861" max="14861" width="13.85546875" style="7" customWidth="1"/>
    <col min="14862" max="14862" width="16.7109375" style="7" customWidth="1"/>
    <col min="14863" max="14863" width="16.5703125" style="7" customWidth="1"/>
    <col min="14864" max="14864" width="15.140625" style="7" customWidth="1"/>
    <col min="14865" max="14865" width="19.7109375" style="7" customWidth="1"/>
    <col min="14866" max="14866" width="19.5703125" style="7" customWidth="1"/>
    <col min="14867" max="14867" width="13.7109375" style="7" customWidth="1"/>
    <col min="14868" max="14868" width="34.42578125" style="7" customWidth="1"/>
    <col min="14869" max="14869" width="26.7109375" style="7" customWidth="1"/>
    <col min="14870" max="14870" width="15.28515625" style="7" customWidth="1"/>
    <col min="14871" max="14871" width="9.140625" style="7"/>
    <col min="14872" max="14872" width="18.28515625" style="7" customWidth="1"/>
    <col min="14873" max="15108" width="9.140625" style="7"/>
    <col min="15109" max="15109" width="4.28515625" style="7" customWidth="1"/>
    <col min="15110" max="15110" width="52.7109375" style="7" customWidth="1"/>
    <col min="15111" max="15111" width="9.28515625" style="7" customWidth="1"/>
    <col min="15112" max="15112" width="17.7109375" style="7" customWidth="1"/>
    <col min="15113" max="15113" width="65.140625" style="7" customWidth="1"/>
    <col min="15114" max="15115" width="10.140625" style="7" customWidth="1"/>
    <col min="15116" max="15116" width="11.7109375" style="7" customWidth="1"/>
    <col min="15117" max="15117" width="13.85546875" style="7" customWidth="1"/>
    <col min="15118" max="15118" width="16.7109375" style="7" customWidth="1"/>
    <col min="15119" max="15119" width="16.5703125" style="7" customWidth="1"/>
    <col min="15120" max="15120" width="15.140625" style="7" customWidth="1"/>
    <col min="15121" max="15121" width="19.7109375" style="7" customWidth="1"/>
    <col min="15122" max="15122" width="19.5703125" style="7" customWidth="1"/>
    <col min="15123" max="15123" width="13.7109375" style="7" customWidth="1"/>
    <col min="15124" max="15124" width="34.42578125" style="7" customWidth="1"/>
    <col min="15125" max="15125" width="26.7109375" style="7" customWidth="1"/>
    <col min="15126" max="15126" width="15.28515625" style="7" customWidth="1"/>
    <col min="15127" max="15127" width="9.140625" style="7"/>
    <col min="15128" max="15128" width="18.28515625" style="7" customWidth="1"/>
    <col min="15129" max="15364" width="9.140625" style="7"/>
    <col min="15365" max="15365" width="4.28515625" style="7" customWidth="1"/>
    <col min="15366" max="15366" width="52.7109375" style="7" customWidth="1"/>
    <col min="15367" max="15367" width="9.28515625" style="7" customWidth="1"/>
    <col min="15368" max="15368" width="17.7109375" style="7" customWidth="1"/>
    <col min="15369" max="15369" width="65.140625" style="7" customWidth="1"/>
    <col min="15370" max="15371" width="10.140625" style="7" customWidth="1"/>
    <col min="15372" max="15372" width="11.7109375" style="7" customWidth="1"/>
    <col min="15373" max="15373" width="13.85546875" style="7" customWidth="1"/>
    <col min="15374" max="15374" width="16.7109375" style="7" customWidth="1"/>
    <col min="15375" max="15375" width="16.5703125" style="7" customWidth="1"/>
    <col min="15376" max="15376" width="15.140625" style="7" customWidth="1"/>
    <col min="15377" max="15377" width="19.7109375" style="7" customWidth="1"/>
    <col min="15378" max="15378" width="19.5703125" style="7" customWidth="1"/>
    <col min="15379" max="15379" width="13.7109375" style="7" customWidth="1"/>
    <col min="15380" max="15380" width="34.42578125" style="7" customWidth="1"/>
    <col min="15381" max="15381" width="26.7109375" style="7" customWidth="1"/>
    <col min="15382" max="15382" width="15.28515625" style="7" customWidth="1"/>
    <col min="15383" max="15383" width="9.140625" style="7"/>
    <col min="15384" max="15384" width="18.28515625" style="7" customWidth="1"/>
    <col min="15385" max="15620" width="9.140625" style="7"/>
    <col min="15621" max="15621" width="4.28515625" style="7" customWidth="1"/>
    <col min="15622" max="15622" width="52.7109375" style="7" customWidth="1"/>
    <col min="15623" max="15623" width="9.28515625" style="7" customWidth="1"/>
    <col min="15624" max="15624" width="17.7109375" style="7" customWidth="1"/>
    <col min="15625" max="15625" width="65.140625" style="7" customWidth="1"/>
    <col min="15626" max="15627" width="10.140625" style="7" customWidth="1"/>
    <col min="15628" max="15628" width="11.7109375" style="7" customWidth="1"/>
    <col min="15629" max="15629" width="13.85546875" style="7" customWidth="1"/>
    <col min="15630" max="15630" width="16.7109375" style="7" customWidth="1"/>
    <col min="15631" max="15631" width="16.5703125" style="7" customWidth="1"/>
    <col min="15632" max="15632" width="15.140625" style="7" customWidth="1"/>
    <col min="15633" max="15633" width="19.7109375" style="7" customWidth="1"/>
    <col min="15634" max="15634" width="19.5703125" style="7" customWidth="1"/>
    <col min="15635" max="15635" width="13.7109375" style="7" customWidth="1"/>
    <col min="15636" max="15636" width="34.42578125" style="7" customWidth="1"/>
    <col min="15637" max="15637" width="26.7109375" style="7" customWidth="1"/>
    <col min="15638" max="15638" width="15.28515625" style="7" customWidth="1"/>
    <col min="15639" max="15639" width="9.140625" style="7"/>
    <col min="15640" max="15640" width="18.28515625" style="7" customWidth="1"/>
    <col min="15641" max="15876" width="9.140625" style="7"/>
    <col min="15877" max="15877" width="4.28515625" style="7" customWidth="1"/>
    <col min="15878" max="15878" width="52.7109375" style="7" customWidth="1"/>
    <col min="15879" max="15879" width="9.28515625" style="7" customWidth="1"/>
    <col min="15880" max="15880" width="17.7109375" style="7" customWidth="1"/>
    <col min="15881" max="15881" width="65.140625" style="7" customWidth="1"/>
    <col min="15882" max="15883" width="10.140625" style="7" customWidth="1"/>
    <col min="15884" max="15884" width="11.7109375" style="7" customWidth="1"/>
    <col min="15885" max="15885" width="13.85546875" style="7" customWidth="1"/>
    <col min="15886" max="15886" width="16.7109375" style="7" customWidth="1"/>
    <col min="15887" max="15887" width="16.5703125" style="7" customWidth="1"/>
    <col min="15888" max="15888" width="15.140625" style="7" customWidth="1"/>
    <col min="15889" max="15889" width="19.7109375" style="7" customWidth="1"/>
    <col min="15890" max="15890" width="19.5703125" style="7" customWidth="1"/>
    <col min="15891" max="15891" width="13.7109375" style="7" customWidth="1"/>
    <col min="15892" max="15892" width="34.42578125" style="7" customWidth="1"/>
    <col min="15893" max="15893" width="26.7109375" style="7" customWidth="1"/>
    <col min="15894" max="15894" width="15.28515625" style="7" customWidth="1"/>
    <col min="15895" max="15895" width="9.140625" style="7"/>
    <col min="15896" max="15896" width="18.28515625" style="7" customWidth="1"/>
    <col min="15897" max="16132" width="9.140625" style="7"/>
    <col min="16133" max="16133" width="4.28515625" style="7" customWidth="1"/>
    <col min="16134" max="16134" width="52.7109375" style="7" customWidth="1"/>
    <col min="16135" max="16135" width="9.28515625" style="7" customWidth="1"/>
    <col min="16136" max="16136" width="17.7109375" style="7" customWidth="1"/>
    <col min="16137" max="16137" width="65.140625" style="7" customWidth="1"/>
    <col min="16138" max="16139" width="10.140625" style="7" customWidth="1"/>
    <col min="16140" max="16140" width="11.7109375" style="7" customWidth="1"/>
    <col min="16141" max="16141" width="13.85546875" style="7" customWidth="1"/>
    <col min="16142" max="16142" width="16.7109375" style="7" customWidth="1"/>
    <col min="16143" max="16143" width="16.5703125" style="7" customWidth="1"/>
    <col min="16144" max="16144" width="15.140625" style="7" customWidth="1"/>
    <col min="16145" max="16145" width="19.7109375" style="7" customWidth="1"/>
    <col min="16146" max="16146" width="19.5703125" style="7" customWidth="1"/>
    <col min="16147" max="16147" width="13.7109375" style="7" customWidth="1"/>
    <col min="16148" max="16148" width="34.42578125" style="7" customWidth="1"/>
    <col min="16149" max="16149" width="26.7109375" style="7" customWidth="1"/>
    <col min="16150" max="16150" width="15.28515625" style="7" customWidth="1"/>
    <col min="16151" max="16151" width="9.140625" style="7"/>
    <col min="16152" max="16152" width="18.28515625" style="7" customWidth="1"/>
    <col min="16153" max="16384" width="9.140625" style="7"/>
  </cols>
  <sheetData>
    <row r="1" spans="1:34" ht="20.25" customHeight="1" x14ac:dyDescent="0.25">
      <c r="B1" s="175" t="s">
        <v>484</v>
      </c>
      <c r="C1" s="175"/>
      <c r="D1" s="175"/>
    </row>
    <row r="2" spans="1:34" ht="23.25" customHeight="1" x14ac:dyDescent="0.25">
      <c r="A2" s="1"/>
      <c r="B2" s="175"/>
      <c r="C2" s="175"/>
      <c r="D2" s="175"/>
      <c r="E2" s="2"/>
      <c r="F2" s="1"/>
      <c r="G2" s="2"/>
      <c r="H2" s="3"/>
      <c r="I2" s="3"/>
      <c r="J2" s="4"/>
      <c r="K2" s="4"/>
      <c r="L2" s="5"/>
      <c r="M2" s="4"/>
      <c r="N2" s="2"/>
      <c r="O2" s="1"/>
      <c r="P2" s="1"/>
      <c r="Q2" s="1"/>
      <c r="R2" s="1"/>
      <c r="S2" s="2"/>
      <c r="T2" s="155"/>
      <c r="U2" s="6"/>
    </row>
    <row r="3" spans="1:34" ht="30.75" customHeight="1" x14ac:dyDescent="0.25">
      <c r="A3" s="65"/>
      <c r="B3" s="177" t="s">
        <v>483</v>
      </c>
      <c r="C3" s="177"/>
      <c r="D3" s="177"/>
      <c r="E3" s="177"/>
      <c r="F3" s="177"/>
      <c r="G3" s="177"/>
      <c r="H3" s="177"/>
      <c r="I3" s="177"/>
      <c r="J3" s="177"/>
      <c r="K3" s="177"/>
      <c r="L3" s="177"/>
      <c r="M3" s="177"/>
      <c r="N3" s="177"/>
      <c r="O3" s="177"/>
      <c r="P3" s="177"/>
      <c r="Q3" s="177"/>
      <c r="R3" s="177"/>
      <c r="S3" s="177"/>
      <c r="T3" s="177"/>
      <c r="U3" s="177"/>
    </row>
    <row r="4" spans="1:34" ht="24" customHeight="1" x14ac:dyDescent="0.25">
      <c r="A4" s="64"/>
      <c r="B4" s="176" t="s">
        <v>485</v>
      </c>
      <c r="C4" s="176"/>
      <c r="D4" s="176"/>
      <c r="E4" s="176"/>
      <c r="F4" s="176"/>
      <c r="G4" s="176"/>
      <c r="H4" s="176"/>
      <c r="I4" s="176"/>
      <c r="J4" s="176"/>
      <c r="K4" s="176"/>
      <c r="L4" s="176"/>
      <c r="M4" s="176"/>
      <c r="N4" s="176"/>
      <c r="O4" s="176"/>
      <c r="P4" s="176"/>
      <c r="Q4" s="176"/>
      <c r="R4" s="176"/>
      <c r="S4" s="176"/>
      <c r="T4" s="176"/>
      <c r="U4" s="176"/>
    </row>
    <row r="5" spans="1:34" ht="18" x14ac:dyDescent="0.25">
      <c r="A5" s="8"/>
      <c r="B5" s="174" t="s">
        <v>490</v>
      </c>
      <c r="C5" s="174"/>
      <c r="D5" s="174"/>
      <c r="E5" s="174"/>
      <c r="F5" s="174"/>
      <c r="G5" s="174"/>
      <c r="H5" s="174"/>
      <c r="I5" s="174"/>
      <c r="J5" s="174"/>
      <c r="K5" s="174"/>
      <c r="L5" s="174"/>
      <c r="M5" s="174"/>
      <c r="N5" s="174"/>
      <c r="O5" s="174"/>
      <c r="P5" s="174"/>
      <c r="Q5" s="174"/>
      <c r="R5" s="174"/>
      <c r="S5" s="174"/>
      <c r="T5" s="174"/>
      <c r="U5" s="174"/>
    </row>
    <row r="6" spans="1:34" ht="24.75" customHeight="1" x14ac:dyDescent="0.25">
      <c r="A6" s="172" t="s">
        <v>0</v>
      </c>
      <c r="B6" s="178" t="s">
        <v>611</v>
      </c>
      <c r="C6" s="178"/>
      <c r="D6" s="178"/>
      <c r="E6" s="178"/>
      <c r="F6" s="178"/>
      <c r="G6" s="178"/>
      <c r="H6" s="178"/>
      <c r="I6" s="178"/>
      <c r="J6" s="178"/>
      <c r="K6" s="178"/>
      <c r="L6" s="178"/>
      <c r="M6" s="178"/>
      <c r="N6" s="178"/>
      <c r="O6" s="178"/>
      <c r="P6" s="178"/>
      <c r="Q6" s="178"/>
      <c r="R6" s="178"/>
      <c r="S6" s="178"/>
      <c r="T6" s="178"/>
      <c r="U6" s="178"/>
      <c r="V6" s="171" t="s">
        <v>612</v>
      </c>
      <c r="W6" s="171"/>
      <c r="X6" s="171"/>
      <c r="Y6" s="171"/>
      <c r="Z6" s="171"/>
      <c r="AA6" s="171"/>
      <c r="AB6" s="171"/>
      <c r="AC6" s="171"/>
      <c r="AD6" s="171"/>
      <c r="AE6" s="171"/>
      <c r="AF6" s="171"/>
      <c r="AG6" s="171"/>
      <c r="AH6" s="171"/>
    </row>
    <row r="7" spans="1:34" s="66" customFormat="1" ht="36.75" customHeight="1" x14ac:dyDescent="0.25">
      <c r="A7" s="173"/>
      <c r="B7" s="152" t="s">
        <v>1</v>
      </c>
      <c r="C7" s="67" t="s">
        <v>2</v>
      </c>
      <c r="D7" s="68" t="s">
        <v>3</v>
      </c>
      <c r="E7" s="68" t="s">
        <v>4</v>
      </c>
      <c r="F7" s="68" t="s">
        <v>688</v>
      </c>
      <c r="G7" s="68" t="s">
        <v>5</v>
      </c>
      <c r="H7" s="69" t="s">
        <v>6</v>
      </c>
      <c r="I7" s="69" t="s">
        <v>7</v>
      </c>
      <c r="J7" s="70" t="s">
        <v>8</v>
      </c>
      <c r="K7" s="70" t="s">
        <v>9</v>
      </c>
      <c r="L7" s="67" t="s">
        <v>10</v>
      </c>
      <c r="M7" s="70" t="s">
        <v>11</v>
      </c>
      <c r="N7" s="68" t="s">
        <v>12</v>
      </c>
      <c r="O7" s="68" t="s">
        <v>13</v>
      </c>
      <c r="P7" s="68" t="s">
        <v>14</v>
      </c>
      <c r="Q7" s="68" t="s">
        <v>463</v>
      </c>
      <c r="R7" s="68" t="s">
        <v>486</v>
      </c>
      <c r="S7" s="68" t="s">
        <v>15</v>
      </c>
      <c r="T7" s="68" t="s">
        <v>16</v>
      </c>
      <c r="U7" s="135" t="s">
        <v>17</v>
      </c>
      <c r="V7" s="149" t="s">
        <v>600</v>
      </c>
      <c r="W7" s="150" t="s">
        <v>602</v>
      </c>
      <c r="X7" s="150" t="s">
        <v>601</v>
      </c>
      <c r="Y7" s="150" t="s">
        <v>603</v>
      </c>
      <c r="Z7" s="150" t="s">
        <v>614</v>
      </c>
      <c r="AA7" s="151" t="s">
        <v>604</v>
      </c>
      <c r="AB7" s="150" t="s">
        <v>605</v>
      </c>
      <c r="AC7" s="150" t="s">
        <v>606</v>
      </c>
      <c r="AD7" s="150" t="s">
        <v>607</v>
      </c>
      <c r="AE7" s="150" t="s">
        <v>608</v>
      </c>
      <c r="AF7" s="151" t="s">
        <v>609</v>
      </c>
      <c r="AG7" s="150" t="s">
        <v>610</v>
      </c>
      <c r="AH7" s="150" t="s">
        <v>613</v>
      </c>
    </row>
    <row r="8" spans="1:34" s="18" customFormat="1" ht="24" customHeight="1" x14ac:dyDescent="0.25">
      <c r="A8" s="10" t="s">
        <v>18</v>
      </c>
      <c r="B8" s="11" t="s">
        <v>19</v>
      </c>
      <c r="C8" s="12"/>
      <c r="D8" s="13"/>
      <c r="E8" s="14"/>
      <c r="F8" s="13"/>
      <c r="G8" s="13"/>
      <c r="H8" s="15"/>
      <c r="I8" s="15"/>
      <c r="J8" s="16"/>
      <c r="K8" s="16"/>
      <c r="L8" s="12"/>
      <c r="M8" s="16"/>
      <c r="N8" s="13"/>
      <c r="O8" s="13"/>
      <c r="P8" s="13"/>
      <c r="Q8" s="13"/>
      <c r="R8" s="13"/>
      <c r="S8" s="13"/>
      <c r="T8" s="17"/>
      <c r="U8" s="136"/>
      <c r="V8" s="145"/>
      <c r="W8" s="39"/>
      <c r="X8" s="39"/>
      <c r="Y8" s="39"/>
      <c r="Z8" s="39"/>
      <c r="AA8" s="39"/>
      <c r="AB8" s="39"/>
      <c r="AC8" s="39"/>
      <c r="AD8" s="39"/>
      <c r="AE8" s="39"/>
      <c r="AF8" s="39"/>
      <c r="AG8" s="39"/>
      <c r="AH8" s="39"/>
    </row>
    <row r="9" spans="1:34" s="18" customFormat="1" ht="24" customHeight="1" x14ac:dyDescent="0.25">
      <c r="A9" s="19">
        <v>1</v>
      </c>
      <c r="B9" s="20" t="s">
        <v>20</v>
      </c>
      <c r="C9" s="9"/>
      <c r="D9" s="21" t="s">
        <v>21</v>
      </c>
      <c r="E9" s="71" t="s">
        <v>22</v>
      </c>
      <c r="F9" s="163"/>
      <c r="G9" s="19">
        <v>2022</v>
      </c>
      <c r="H9" s="22">
        <v>44985</v>
      </c>
      <c r="I9" s="22" t="s">
        <v>23</v>
      </c>
      <c r="J9" s="23">
        <v>57200000</v>
      </c>
      <c r="K9" s="23" t="s">
        <v>24</v>
      </c>
      <c r="L9" s="9"/>
      <c r="M9" s="23"/>
      <c r="N9" s="19" t="s">
        <v>25</v>
      </c>
      <c r="O9" s="19" t="s">
        <v>26</v>
      </c>
      <c r="P9" s="19" t="s">
        <v>27</v>
      </c>
      <c r="Q9" s="19"/>
      <c r="R9" s="19"/>
      <c r="S9" s="19"/>
      <c r="T9" s="156" t="s">
        <v>28</v>
      </c>
      <c r="U9" s="137"/>
      <c r="V9" s="146" t="s">
        <v>616</v>
      </c>
      <c r="W9" s="34" t="s">
        <v>617</v>
      </c>
      <c r="X9" s="32"/>
      <c r="Y9" s="34" t="s">
        <v>622</v>
      </c>
      <c r="Z9" s="34" t="s">
        <v>621</v>
      </c>
      <c r="AA9" s="34" t="s">
        <v>623</v>
      </c>
      <c r="AB9" s="32"/>
      <c r="AC9" s="32"/>
      <c r="AD9" s="32"/>
      <c r="AE9" s="32"/>
      <c r="AF9" s="32"/>
      <c r="AG9" s="32"/>
      <c r="AH9" s="32"/>
    </row>
    <row r="10" spans="1:34" s="18" customFormat="1" ht="24" customHeight="1" x14ac:dyDescent="0.25">
      <c r="A10" s="19">
        <v>2</v>
      </c>
      <c r="B10" s="20" t="s">
        <v>29</v>
      </c>
      <c r="C10" s="24"/>
      <c r="D10" s="19" t="s">
        <v>21</v>
      </c>
      <c r="E10" s="71" t="s">
        <v>30</v>
      </c>
      <c r="F10" s="163"/>
      <c r="G10" s="19">
        <v>2022</v>
      </c>
      <c r="H10" s="22">
        <v>44913</v>
      </c>
      <c r="I10" s="22" t="s">
        <v>23</v>
      </c>
      <c r="J10" s="23">
        <v>26299000</v>
      </c>
      <c r="K10" s="23" t="s">
        <v>24</v>
      </c>
      <c r="L10" s="9"/>
      <c r="M10" s="23"/>
      <c r="N10" s="19" t="s">
        <v>31</v>
      </c>
      <c r="O10" s="19" t="s">
        <v>32</v>
      </c>
      <c r="P10" s="19" t="s">
        <v>27</v>
      </c>
      <c r="Q10" s="19"/>
      <c r="R10" s="19"/>
      <c r="S10" s="19"/>
      <c r="T10" s="157" t="s">
        <v>692</v>
      </c>
      <c r="U10" s="137"/>
      <c r="V10" s="146" t="s">
        <v>616</v>
      </c>
      <c r="W10" s="146" t="s">
        <v>615</v>
      </c>
      <c r="X10" s="32"/>
      <c r="Y10" s="34" t="s">
        <v>622</v>
      </c>
      <c r="Z10" s="34" t="s">
        <v>621</v>
      </c>
      <c r="AA10" s="32"/>
      <c r="AB10" s="32"/>
      <c r="AC10" s="32"/>
      <c r="AD10" s="32"/>
      <c r="AE10" s="32"/>
      <c r="AF10" s="32"/>
      <c r="AG10" s="32"/>
      <c r="AH10" s="32"/>
    </row>
    <row r="11" spans="1:34" s="31" customFormat="1" ht="24" customHeight="1" x14ac:dyDescent="0.25">
      <c r="A11" s="19">
        <v>3</v>
      </c>
      <c r="B11" s="25" t="s">
        <v>37</v>
      </c>
      <c r="C11" s="24"/>
      <c r="D11" s="26" t="s">
        <v>21</v>
      </c>
      <c r="E11" s="27" t="s">
        <v>38</v>
      </c>
      <c r="F11" s="164"/>
      <c r="G11" s="26">
        <v>2021</v>
      </c>
      <c r="H11" s="28">
        <v>44328</v>
      </c>
      <c r="I11" s="28" t="s">
        <v>23</v>
      </c>
      <c r="J11" s="29">
        <v>25489000</v>
      </c>
      <c r="K11" s="29" t="s">
        <v>24</v>
      </c>
      <c r="L11" s="24"/>
      <c r="M11" s="29"/>
      <c r="N11" s="26" t="s">
        <v>35</v>
      </c>
      <c r="O11" s="26" t="s">
        <v>36</v>
      </c>
      <c r="P11" s="26" t="s">
        <v>27</v>
      </c>
      <c r="Q11" s="26"/>
      <c r="R11" s="26"/>
      <c r="S11" s="26"/>
      <c r="T11" s="157" t="s">
        <v>39</v>
      </c>
      <c r="U11" s="138"/>
      <c r="V11" s="146" t="s">
        <v>618</v>
      </c>
      <c r="W11" s="146" t="s">
        <v>619</v>
      </c>
      <c r="X11" s="35"/>
      <c r="Y11" s="34" t="s">
        <v>622</v>
      </c>
      <c r="Z11" s="34" t="s">
        <v>621</v>
      </c>
      <c r="AA11" s="35"/>
      <c r="AB11" s="35"/>
      <c r="AC11" s="35"/>
      <c r="AD11" s="35"/>
      <c r="AE11" s="35"/>
      <c r="AF11" s="35"/>
      <c r="AG11" s="35"/>
      <c r="AH11" s="35"/>
    </row>
    <row r="12" spans="1:34" s="18" customFormat="1" ht="24" customHeight="1" x14ac:dyDescent="0.25">
      <c r="A12" s="19">
        <v>4</v>
      </c>
      <c r="B12" s="20" t="s">
        <v>40</v>
      </c>
      <c r="C12" s="24"/>
      <c r="D12" s="19" t="s">
        <v>21</v>
      </c>
      <c r="E12" s="71" t="s">
        <v>41</v>
      </c>
      <c r="F12" s="163"/>
      <c r="G12" s="19">
        <v>2014</v>
      </c>
      <c r="H12" s="22">
        <v>41957</v>
      </c>
      <c r="I12" s="22" t="s">
        <v>33</v>
      </c>
      <c r="J12" s="23">
        <v>14990000</v>
      </c>
      <c r="K12" s="23" t="s">
        <v>24</v>
      </c>
      <c r="L12" s="9"/>
      <c r="M12" s="23"/>
      <c r="N12" s="19" t="s">
        <v>35</v>
      </c>
      <c r="O12" s="32" t="s">
        <v>42</v>
      </c>
      <c r="P12" s="32" t="s">
        <v>27</v>
      </c>
      <c r="Q12" s="32">
        <v>2025</v>
      </c>
      <c r="R12" s="32" t="s">
        <v>488</v>
      </c>
      <c r="S12" s="33"/>
      <c r="T12" s="55" t="s">
        <v>43</v>
      </c>
      <c r="U12" s="139"/>
      <c r="V12" s="33"/>
      <c r="W12" s="147"/>
      <c r="X12" s="32"/>
      <c r="Y12" s="32"/>
      <c r="Z12" s="32"/>
      <c r="AA12" s="32"/>
      <c r="AB12" s="32"/>
      <c r="AC12" s="32"/>
      <c r="AD12" s="32"/>
      <c r="AE12" s="32"/>
      <c r="AF12" s="32"/>
      <c r="AG12" s="32"/>
      <c r="AH12" s="32"/>
    </row>
    <row r="13" spans="1:34" s="18" customFormat="1" ht="24" customHeight="1" x14ac:dyDescent="0.25">
      <c r="A13" s="19">
        <v>5</v>
      </c>
      <c r="B13" s="25" t="s">
        <v>99</v>
      </c>
      <c r="C13" s="24"/>
      <c r="D13" s="26" t="s">
        <v>21</v>
      </c>
      <c r="E13" s="27" t="s">
        <v>100</v>
      </c>
      <c r="F13" s="164"/>
      <c r="G13" s="26">
        <v>2025</v>
      </c>
      <c r="H13" s="28">
        <v>45805</v>
      </c>
      <c r="I13" s="28" t="s">
        <v>23</v>
      </c>
      <c r="J13" s="29">
        <v>28000000</v>
      </c>
      <c r="K13" s="29" t="s">
        <v>24</v>
      </c>
      <c r="L13" s="24"/>
      <c r="M13" s="29"/>
      <c r="N13" s="19" t="s">
        <v>35</v>
      </c>
      <c r="O13" s="19" t="s">
        <v>101</v>
      </c>
      <c r="P13" s="35" t="s">
        <v>27</v>
      </c>
      <c r="Q13" s="35">
        <v>2025</v>
      </c>
      <c r="R13" s="35" t="s">
        <v>487</v>
      </c>
      <c r="S13" s="30"/>
      <c r="T13" s="55" t="s">
        <v>39</v>
      </c>
      <c r="U13" s="140"/>
      <c r="V13" s="146" t="s">
        <v>624</v>
      </c>
      <c r="W13" s="146" t="s">
        <v>625</v>
      </c>
      <c r="X13" s="32"/>
      <c r="Y13" s="34" t="s">
        <v>622</v>
      </c>
      <c r="Z13" s="34" t="s">
        <v>621</v>
      </c>
      <c r="AA13" s="34" t="s">
        <v>620</v>
      </c>
      <c r="AB13" s="32"/>
      <c r="AC13" s="32"/>
      <c r="AD13" s="32"/>
      <c r="AE13" s="32"/>
      <c r="AF13" s="32"/>
      <c r="AG13" s="32"/>
      <c r="AH13" s="32"/>
    </row>
    <row r="14" spans="1:34" s="18" customFormat="1" ht="24" customHeight="1" x14ac:dyDescent="0.25">
      <c r="A14" s="19">
        <v>6</v>
      </c>
      <c r="B14" s="25" t="s">
        <v>45</v>
      </c>
      <c r="C14" s="24"/>
      <c r="D14" s="26" t="s">
        <v>21</v>
      </c>
      <c r="E14" s="27" t="s">
        <v>46</v>
      </c>
      <c r="F14" s="164"/>
      <c r="G14" s="26">
        <v>2021</v>
      </c>
      <c r="H14" s="28">
        <v>44333</v>
      </c>
      <c r="I14" s="28" t="s">
        <v>23</v>
      </c>
      <c r="J14" s="29">
        <v>20690000</v>
      </c>
      <c r="K14" s="29" t="s">
        <v>24</v>
      </c>
      <c r="L14" s="24"/>
      <c r="M14" s="29"/>
      <c r="N14" s="19" t="s">
        <v>47</v>
      </c>
      <c r="O14" s="35" t="s">
        <v>48</v>
      </c>
      <c r="P14" s="35" t="s">
        <v>27</v>
      </c>
      <c r="Q14" s="35"/>
      <c r="R14" s="35"/>
      <c r="S14" s="30"/>
      <c r="T14" s="55" t="s">
        <v>49</v>
      </c>
      <c r="U14" s="139"/>
      <c r="V14" s="146" t="s">
        <v>626</v>
      </c>
      <c r="W14" s="34" t="s">
        <v>617</v>
      </c>
      <c r="X14" s="32"/>
      <c r="Y14" s="34" t="s">
        <v>622</v>
      </c>
      <c r="Z14" s="34" t="s">
        <v>621</v>
      </c>
      <c r="AA14" s="32"/>
      <c r="AB14" s="32"/>
      <c r="AC14" s="32"/>
      <c r="AD14" s="32"/>
      <c r="AE14" s="32"/>
      <c r="AF14" s="32"/>
      <c r="AG14" s="32"/>
      <c r="AH14" s="32"/>
    </row>
    <row r="15" spans="1:34" s="18" customFormat="1" ht="24" customHeight="1" x14ac:dyDescent="0.25">
      <c r="A15" s="19">
        <v>7</v>
      </c>
      <c r="B15" s="55" t="s">
        <v>50</v>
      </c>
      <c r="C15" s="9"/>
      <c r="D15" s="19" t="s">
        <v>21</v>
      </c>
      <c r="E15" s="71" t="s">
        <v>51</v>
      </c>
      <c r="F15" s="163"/>
      <c r="G15" s="19">
        <v>2018</v>
      </c>
      <c r="H15" s="22">
        <v>43591</v>
      </c>
      <c r="I15" s="22" t="s">
        <v>52</v>
      </c>
      <c r="J15" s="23">
        <v>15490000</v>
      </c>
      <c r="K15" s="23" t="s">
        <v>24</v>
      </c>
      <c r="L15" s="9"/>
      <c r="M15" s="23"/>
      <c r="N15" s="19" t="s">
        <v>53</v>
      </c>
      <c r="O15" s="32" t="s">
        <v>54</v>
      </c>
      <c r="P15" s="32" t="s">
        <v>27</v>
      </c>
      <c r="Q15" s="32"/>
      <c r="R15" s="32"/>
      <c r="S15" s="33"/>
      <c r="T15" s="157" t="s">
        <v>55</v>
      </c>
      <c r="U15" s="139"/>
      <c r="V15" s="146" t="s">
        <v>626</v>
      </c>
      <c r="W15" s="146" t="s">
        <v>619</v>
      </c>
      <c r="X15" s="35"/>
      <c r="Y15" s="34" t="s">
        <v>622</v>
      </c>
      <c r="Z15" s="34" t="s">
        <v>621</v>
      </c>
      <c r="AA15" s="32"/>
      <c r="AB15" s="32"/>
      <c r="AC15" s="32"/>
      <c r="AD15" s="32"/>
      <c r="AE15" s="32"/>
      <c r="AF15" s="32"/>
      <c r="AG15" s="32"/>
      <c r="AH15" s="32"/>
    </row>
    <row r="16" spans="1:34" s="18" customFormat="1" ht="24" customHeight="1" x14ac:dyDescent="0.25">
      <c r="A16" s="19">
        <v>8</v>
      </c>
      <c r="B16" s="72" t="s">
        <v>56</v>
      </c>
      <c r="C16" s="9"/>
      <c r="D16" s="19" t="s">
        <v>21</v>
      </c>
      <c r="E16" s="71" t="s">
        <v>57</v>
      </c>
      <c r="F16" s="163"/>
      <c r="G16" s="19">
        <v>2016</v>
      </c>
      <c r="H16" s="22">
        <v>43320</v>
      </c>
      <c r="I16" s="22" t="s">
        <v>44</v>
      </c>
      <c r="J16" s="23">
        <v>11990000</v>
      </c>
      <c r="K16" s="23" t="s">
        <v>24</v>
      </c>
      <c r="L16" s="9" t="s">
        <v>34</v>
      </c>
      <c r="M16" s="23">
        <v>1800000</v>
      </c>
      <c r="N16" s="19" t="s">
        <v>433</v>
      </c>
      <c r="O16" s="32" t="s">
        <v>451</v>
      </c>
      <c r="P16" s="32" t="s">
        <v>27</v>
      </c>
      <c r="Q16" s="32"/>
      <c r="R16" s="32"/>
      <c r="S16" s="33"/>
      <c r="T16" s="55"/>
      <c r="U16" s="139"/>
      <c r="V16" s="146" t="s">
        <v>624</v>
      </c>
      <c r="W16" s="146" t="s">
        <v>615</v>
      </c>
      <c r="X16" s="32"/>
      <c r="Y16" s="34" t="s">
        <v>622</v>
      </c>
      <c r="Z16" s="34" t="s">
        <v>621</v>
      </c>
      <c r="AA16" s="32"/>
      <c r="AB16" s="32"/>
      <c r="AC16" s="32"/>
      <c r="AD16" s="32"/>
      <c r="AE16" s="32"/>
      <c r="AF16" s="32"/>
      <c r="AG16" s="32"/>
      <c r="AH16" s="32"/>
    </row>
    <row r="17" spans="1:34" s="18" customFormat="1" ht="24" customHeight="1" x14ac:dyDescent="0.25">
      <c r="A17" s="19">
        <v>9</v>
      </c>
      <c r="B17" s="25" t="s">
        <v>63</v>
      </c>
      <c r="C17" s="24"/>
      <c r="D17" s="26" t="s">
        <v>21</v>
      </c>
      <c r="E17" s="27" t="s">
        <v>64</v>
      </c>
      <c r="F17" s="164"/>
      <c r="G17" s="19">
        <v>2024</v>
      </c>
      <c r="H17" s="22">
        <v>45460</v>
      </c>
      <c r="I17" s="22" t="s">
        <v>23</v>
      </c>
      <c r="J17" s="23">
        <v>14699000</v>
      </c>
      <c r="K17" s="23" t="s">
        <v>24</v>
      </c>
      <c r="L17" s="9"/>
      <c r="M17" s="23"/>
      <c r="N17" s="26" t="s">
        <v>437</v>
      </c>
      <c r="O17" s="32" t="s">
        <v>61</v>
      </c>
      <c r="P17" s="32" t="s">
        <v>27</v>
      </c>
      <c r="Q17" s="32"/>
      <c r="R17" s="32"/>
      <c r="S17" s="33"/>
      <c r="T17" s="55" t="s">
        <v>39</v>
      </c>
      <c r="U17" s="139"/>
      <c r="V17" s="33"/>
      <c r="W17" s="147"/>
      <c r="X17" s="32"/>
      <c r="Y17" s="32"/>
      <c r="Z17" s="32"/>
      <c r="AA17" s="32"/>
      <c r="AB17" s="32"/>
      <c r="AC17" s="32"/>
      <c r="AD17" s="32"/>
      <c r="AE17" s="32"/>
      <c r="AF17" s="32"/>
      <c r="AG17" s="32"/>
      <c r="AH17" s="32"/>
    </row>
    <row r="18" spans="1:34" s="18" customFormat="1" ht="24" customHeight="1" x14ac:dyDescent="0.25">
      <c r="A18" s="19">
        <v>10</v>
      </c>
      <c r="B18" s="20" t="s">
        <v>66</v>
      </c>
      <c r="C18" s="9"/>
      <c r="D18" s="19" t="s">
        <v>21</v>
      </c>
      <c r="E18" s="71" t="s">
        <v>67</v>
      </c>
      <c r="F18" s="163"/>
      <c r="G18" s="19">
        <v>2017</v>
      </c>
      <c r="H18" s="22">
        <v>43111</v>
      </c>
      <c r="I18" s="22" t="s">
        <v>23</v>
      </c>
      <c r="J18" s="23">
        <v>13290000</v>
      </c>
      <c r="K18" s="23" t="s">
        <v>24</v>
      </c>
      <c r="L18" s="9"/>
      <c r="M18" s="23"/>
      <c r="N18" s="19" t="s">
        <v>433</v>
      </c>
      <c r="O18" s="32" t="s">
        <v>68</v>
      </c>
      <c r="P18" s="32" t="s">
        <v>27</v>
      </c>
      <c r="Q18" s="32"/>
      <c r="R18" s="32"/>
      <c r="S18" s="33"/>
      <c r="T18" s="55" t="s">
        <v>69</v>
      </c>
      <c r="U18" s="139"/>
      <c r="V18" s="146" t="s">
        <v>627</v>
      </c>
      <c r="W18" s="146" t="s">
        <v>619</v>
      </c>
      <c r="X18" s="32"/>
      <c r="Y18" s="34" t="s">
        <v>622</v>
      </c>
      <c r="Z18" s="34" t="s">
        <v>621</v>
      </c>
      <c r="AA18" s="32"/>
      <c r="AB18" s="32"/>
      <c r="AC18" s="32"/>
      <c r="AD18" s="32"/>
      <c r="AE18" s="32"/>
      <c r="AF18" s="32"/>
      <c r="AG18" s="32"/>
      <c r="AH18" s="32"/>
    </row>
    <row r="19" spans="1:34" s="18" customFormat="1" ht="24" customHeight="1" x14ac:dyDescent="0.25">
      <c r="A19" s="19">
        <v>11</v>
      </c>
      <c r="B19" s="20" t="s">
        <v>70</v>
      </c>
      <c r="C19" s="9"/>
      <c r="D19" s="19" t="s">
        <v>21</v>
      </c>
      <c r="E19" s="71" t="s">
        <v>71</v>
      </c>
      <c r="F19" s="163"/>
      <c r="G19" s="19">
        <v>2018</v>
      </c>
      <c r="H19" s="22">
        <v>43595</v>
      </c>
      <c r="I19" s="22" t="s">
        <v>23</v>
      </c>
      <c r="J19" s="23">
        <v>49500000</v>
      </c>
      <c r="K19" s="23" t="s">
        <v>24</v>
      </c>
      <c r="L19" s="9"/>
      <c r="M19" s="23"/>
      <c r="N19" s="19" t="s">
        <v>432</v>
      </c>
      <c r="O19" s="32" t="s">
        <v>171</v>
      </c>
      <c r="P19" s="32" t="s">
        <v>27</v>
      </c>
      <c r="Q19" s="32"/>
      <c r="R19" s="32"/>
      <c r="S19" s="33" t="s">
        <v>431</v>
      </c>
      <c r="T19" s="55" t="s">
        <v>72</v>
      </c>
      <c r="U19" s="139"/>
      <c r="V19" s="146" t="s">
        <v>618</v>
      </c>
      <c r="W19" s="34" t="s">
        <v>617</v>
      </c>
      <c r="X19" s="32"/>
      <c r="Y19" s="34" t="s">
        <v>622</v>
      </c>
      <c r="Z19" s="34" t="s">
        <v>621</v>
      </c>
      <c r="AA19" s="32"/>
      <c r="AB19" s="32"/>
      <c r="AC19" s="32"/>
      <c r="AD19" s="32"/>
      <c r="AE19" s="32"/>
      <c r="AF19" s="32"/>
      <c r="AG19" s="32"/>
      <c r="AH19" s="32"/>
    </row>
    <row r="20" spans="1:34" s="31" customFormat="1" ht="24" customHeight="1" x14ac:dyDescent="0.25">
      <c r="A20" s="19">
        <v>12</v>
      </c>
      <c r="B20" s="36" t="s">
        <v>66</v>
      </c>
      <c r="C20" s="24"/>
      <c r="D20" s="26" t="s">
        <v>21</v>
      </c>
      <c r="E20" s="27" t="s">
        <v>73</v>
      </c>
      <c r="F20" s="164"/>
      <c r="G20" s="26">
        <v>2016</v>
      </c>
      <c r="H20" s="28">
        <v>43161</v>
      </c>
      <c r="I20" s="28" t="s">
        <v>23</v>
      </c>
      <c r="J20" s="73">
        <v>11990000</v>
      </c>
      <c r="K20" s="29" t="s">
        <v>24</v>
      </c>
      <c r="L20" s="24"/>
      <c r="M20" s="29"/>
      <c r="N20" s="26" t="s">
        <v>433</v>
      </c>
      <c r="O20" s="35" t="s">
        <v>74</v>
      </c>
      <c r="P20" s="35" t="s">
        <v>27</v>
      </c>
      <c r="Q20" s="35"/>
      <c r="R20" s="35"/>
      <c r="S20" s="30"/>
      <c r="T20" s="157" t="s">
        <v>69</v>
      </c>
      <c r="U20" s="140"/>
      <c r="V20" s="146" t="s">
        <v>627</v>
      </c>
      <c r="W20" s="146" t="s">
        <v>619</v>
      </c>
      <c r="X20" s="35"/>
      <c r="Y20" s="35"/>
      <c r="Z20" s="35"/>
      <c r="AA20" s="35"/>
      <c r="AB20" s="35"/>
      <c r="AC20" s="35"/>
      <c r="AD20" s="35"/>
      <c r="AE20" s="35"/>
      <c r="AF20" s="35"/>
      <c r="AG20" s="35"/>
      <c r="AH20" s="35"/>
    </row>
    <row r="21" spans="1:34" s="18" customFormat="1" ht="24" customHeight="1" x14ac:dyDescent="0.25">
      <c r="A21" s="19">
        <v>13</v>
      </c>
      <c r="B21" s="72" t="s">
        <v>76</v>
      </c>
      <c r="C21" s="9"/>
      <c r="D21" s="19" t="s">
        <v>21</v>
      </c>
      <c r="E21" s="71" t="s">
        <v>77</v>
      </c>
      <c r="F21" s="163"/>
      <c r="G21" s="19">
        <v>2019</v>
      </c>
      <c r="H21" s="22">
        <v>43967</v>
      </c>
      <c r="I21" s="22" t="s">
        <v>44</v>
      </c>
      <c r="J21" s="23">
        <v>17799000</v>
      </c>
      <c r="K21" s="23" t="s">
        <v>24</v>
      </c>
      <c r="L21" s="9"/>
      <c r="M21" s="23"/>
      <c r="N21" s="19" t="s">
        <v>434</v>
      </c>
      <c r="O21" s="32" t="s">
        <v>78</v>
      </c>
      <c r="P21" s="32" t="s">
        <v>27</v>
      </c>
      <c r="Q21" s="32"/>
      <c r="R21" s="32"/>
      <c r="S21" s="33"/>
      <c r="T21" s="55" t="s">
        <v>39</v>
      </c>
      <c r="U21" s="139"/>
      <c r="V21" s="146" t="s">
        <v>627</v>
      </c>
      <c r="W21" s="146" t="s">
        <v>619</v>
      </c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</row>
    <row r="22" spans="1:34" s="18" customFormat="1" ht="24" customHeight="1" x14ac:dyDescent="0.25">
      <c r="A22" s="19">
        <v>14</v>
      </c>
      <c r="B22" s="72" t="s">
        <v>79</v>
      </c>
      <c r="C22" s="9"/>
      <c r="D22" s="19" t="s">
        <v>21</v>
      </c>
      <c r="E22" s="71" t="s">
        <v>80</v>
      </c>
      <c r="F22" s="163"/>
      <c r="G22" s="19">
        <v>2019</v>
      </c>
      <c r="H22" s="22">
        <v>43959</v>
      </c>
      <c r="I22" s="22" t="s">
        <v>44</v>
      </c>
      <c r="J22" s="23">
        <v>14600000</v>
      </c>
      <c r="K22" s="23" t="s">
        <v>24</v>
      </c>
      <c r="L22" s="9"/>
      <c r="M22" s="23"/>
      <c r="N22" s="19" t="s">
        <v>435</v>
      </c>
      <c r="O22" s="32" t="s">
        <v>579</v>
      </c>
      <c r="P22" s="32" t="s">
        <v>27</v>
      </c>
      <c r="Q22" s="32"/>
      <c r="R22" s="32"/>
      <c r="S22" s="74" t="s">
        <v>651</v>
      </c>
      <c r="T22" s="55" t="s">
        <v>62</v>
      </c>
      <c r="U22" s="139"/>
      <c r="V22" s="146" t="s">
        <v>627</v>
      </c>
      <c r="W22" s="146" t="s">
        <v>619</v>
      </c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32"/>
    </row>
    <row r="23" spans="1:34" s="18" customFormat="1" ht="24" customHeight="1" x14ac:dyDescent="0.25">
      <c r="A23" s="19">
        <v>15</v>
      </c>
      <c r="B23" s="25" t="s">
        <v>81</v>
      </c>
      <c r="C23" s="24"/>
      <c r="D23" s="26" t="s">
        <v>21</v>
      </c>
      <c r="E23" s="27" t="s">
        <v>82</v>
      </c>
      <c r="F23" s="164"/>
      <c r="G23" s="26">
        <v>2019</v>
      </c>
      <c r="H23" s="28">
        <v>44139</v>
      </c>
      <c r="I23" s="28" t="s">
        <v>23</v>
      </c>
      <c r="J23" s="29">
        <v>24990000</v>
      </c>
      <c r="K23" s="29" t="s">
        <v>24</v>
      </c>
      <c r="L23" s="24"/>
      <c r="M23" s="29"/>
      <c r="N23" s="26" t="s">
        <v>167</v>
      </c>
      <c r="O23" s="35" t="s">
        <v>83</v>
      </c>
      <c r="P23" s="35" t="s">
        <v>27</v>
      </c>
      <c r="Q23" s="35"/>
      <c r="R23" s="35"/>
      <c r="S23" s="30"/>
      <c r="T23" s="157" t="s">
        <v>84</v>
      </c>
      <c r="U23" s="140"/>
      <c r="V23" s="146" t="s">
        <v>626</v>
      </c>
      <c r="W23" s="34" t="s">
        <v>617</v>
      </c>
      <c r="X23" s="32"/>
      <c r="Y23" s="32"/>
      <c r="Z23" s="32"/>
      <c r="AA23" s="32"/>
      <c r="AB23" s="32"/>
      <c r="AC23" s="32"/>
      <c r="AD23" s="32"/>
      <c r="AE23" s="32"/>
      <c r="AF23" s="32"/>
      <c r="AG23" s="32"/>
      <c r="AH23" s="32"/>
    </row>
    <row r="24" spans="1:34" s="18" customFormat="1" ht="24" customHeight="1" x14ac:dyDescent="0.25">
      <c r="A24" s="19">
        <v>16</v>
      </c>
      <c r="B24" s="25" t="s">
        <v>85</v>
      </c>
      <c r="C24" s="24"/>
      <c r="D24" s="26" t="s">
        <v>21</v>
      </c>
      <c r="E24" s="27" t="s">
        <v>86</v>
      </c>
      <c r="F24" s="164"/>
      <c r="G24" s="26">
        <v>2020</v>
      </c>
      <c r="H24" s="28">
        <v>44142</v>
      </c>
      <c r="I24" s="28" t="s">
        <v>23</v>
      </c>
      <c r="J24" s="29">
        <v>18290000</v>
      </c>
      <c r="K24" s="29" t="s">
        <v>24</v>
      </c>
      <c r="L24" s="24"/>
      <c r="M24" s="29"/>
      <c r="N24" s="26" t="s">
        <v>433</v>
      </c>
      <c r="O24" s="35" t="s">
        <v>87</v>
      </c>
      <c r="P24" s="35" t="s">
        <v>27</v>
      </c>
      <c r="Q24" s="35"/>
      <c r="R24" s="35"/>
      <c r="S24" s="30"/>
      <c r="T24" s="157" t="s">
        <v>88</v>
      </c>
      <c r="U24" s="140"/>
      <c r="V24" s="146" t="s">
        <v>626</v>
      </c>
      <c r="W24" s="146" t="s">
        <v>619</v>
      </c>
      <c r="X24" s="32"/>
      <c r="Y24" s="34" t="s">
        <v>622</v>
      </c>
      <c r="Z24" s="34" t="s">
        <v>621</v>
      </c>
      <c r="AA24" s="32"/>
      <c r="AB24" s="32"/>
      <c r="AC24" s="32"/>
      <c r="AD24" s="32"/>
      <c r="AE24" s="32"/>
      <c r="AF24" s="32"/>
      <c r="AG24" s="32"/>
      <c r="AH24" s="32"/>
    </row>
    <row r="25" spans="1:34" s="18" customFormat="1" ht="24" customHeight="1" x14ac:dyDescent="0.25">
      <c r="A25" s="19">
        <v>17</v>
      </c>
      <c r="B25" s="25" t="s">
        <v>89</v>
      </c>
      <c r="C25" s="24"/>
      <c r="D25" s="26" t="s">
        <v>21</v>
      </c>
      <c r="E25" s="27" t="s">
        <v>90</v>
      </c>
      <c r="F25" s="164"/>
      <c r="G25" s="26">
        <v>2020</v>
      </c>
      <c r="H25" s="28">
        <v>44181</v>
      </c>
      <c r="I25" s="28" t="s">
        <v>23</v>
      </c>
      <c r="J25" s="29">
        <v>18689000</v>
      </c>
      <c r="K25" s="29" t="s">
        <v>24</v>
      </c>
      <c r="L25" s="24" t="s">
        <v>657</v>
      </c>
      <c r="M25" s="29">
        <v>3767000</v>
      </c>
      <c r="N25" s="19" t="s">
        <v>435</v>
      </c>
      <c r="O25" s="35" t="s">
        <v>658</v>
      </c>
      <c r="P25" s="35" t="s">
        <v>27</v>
      </c>
      <c r="Q25" s="35"/>
      <c r="R25" s="35"/>
      <c r="S25" s="30"/>
      <c r="T25" s="55" t="s">
        <v>39</v>
      </c>
      <c r="U25" s="140"/>
      <c r="V25" s="146" t="s">
        <v>626</v>
      </c>
      <c r="W25" s="146" t="s">
        <v>619</v>
      </c>
      <c r="X25" s="32"/>
      <c r="Y25" s="34" t="s">
        <v>622</v>
      </c>
      <c r="Z25" s="34" t="s">
        <v>621</v>
      </c>
      <c r="AA25" s="32"/>
      <c r="AB25" s="32"/>
      <c r="AC25" s="32"/>
      <c r="AD25" s="32"/>
      <c r="AE25" s="32"/>
      <c r="AF25" s="32"/>
      <c r="AG25" s="32"/>
      <c r="AH25" s="32"/>
    </row>
    <row r="26" spans="1:34" s="18" customFormat="1" ht="24" customHeight="1" x14ac:dyDescent="0.25">
      <c r="A26" s="19">
        <v>18</v>
      </c>
      <c r="B26" s="25" t="s">
        <v>91</v>
      </c>
      <c r="C26" s="24"/>
      <c r="D26" s="26" t="s">
        <v>21</v>
      </c>
      <c r="E26" s="27" t="s">
        <v>92</v>
      </c>
      <c r="F26" s="164"/>
      <c r="G26" s="26">
        <v>2021</v>
      </c>
      <c r="H26" s="28">
        <v>44517</v>
      </c>
      <c r="I26" s="28" t="s">
        <v>23</v>
      </c>
      <c r="J26" s="29">
        <v>17590000</v>
      </c>
      <c r="K26" s="29" t="s">
        <v>24</v>
      </c>
      <c r="L26" s="24"/>
      <c r="M26" s="29"/>
      <c r="N26" s="19" t="s">
        <v>310</v>
      </c>
      <c r="O26" s="35" t="s">
        <v>93</v>
      </c>
      <c r="P26" s="35" t="s">
        <v>27</v>
      </c>
      <c r="Q26" s="35"/>
      <c r="R26" s="35"/>
      <c r="S26" s="30"/>
      <c r="T26" s="55" t="s">
        <v>49</v>
      </c>
      <c r="U26" s="140"/>
      <c r="V26" s="146" t="s">
        <v>626</v>
      </c>
      <c r="W26" s="146" t="s">
        <v>619</v>
      </c>
      <c r="X26" s="32"/>
      <c r="Y26" s="34" t="s">
        <v>622</v>
      </c>
      <c r="Z26" s="34" t="s">
        <v>621</v>
      </c>
      <c r="AA26" s="32"/>
      <c r="AB26" s="32"/>
      <c r="AC26" s="32"/>
      <c r="AD26" s="32"/>
      <c r="AE26" s="32"/>
      <c r="AF26" s="32"/>
      <c r="AG26" s="32"/>
      <c r="AH26" s="32"/>
    </row>
    <row r="27" spans="1:34" s="18" customFormat="1" ht="24" customHeight="1" x14ac:dyDescent="0.25">
      <c r="A27" s="19">
        <v>19</v>
      </c>
      <c r="B27" s="25" t="s">
        <v>94</v>
      </c>
      <c r="C27" s="24"/>
      <c r="D27" s="26" t="s">
        <v>21</v>
      </c>
      <c r="E27" s="27" t="s">
        <v>95</v>
      </c>
      <c r="F27" s="164"/>
      <c r="G27" s="26">
        <v>2022</v>
      </c>
      <c r="H27" s="28">
        <v>44669</v>
      </c>
      <c r="I27" s="28" t="s">
        <v>23</v>
      </c>
      <c r="J27" s="29">
        <v>25999000</v>
      </c>
      <c r="K27" s="29" t="s">
        <v>24</v>
      </c>
      <c r="L27" s="24"/>
      <c r="M27" s="29"/>
      <c r="N27" s="19" t="s">
        <v>219</v>
      </c>
      <c r="O27" s="35" t="s">
        <v>96</v>
      </c>
      <c r="P27" s="35" t="s">
        <v>27</v>
      </c>
      <c r="Q27" s="35"/>
      <c r="R27" s="35"/>
      <c r="S27" s="30"/>
      <c r="T27" s="157" t="s">
        <v>97</v>
      </c>
      <c r="U27" s="140" t="s">
        <v>98</v>
      </c>
      <c r="V27" s="146" t="s">
        <v>626</v>
      </c>
      <c r="W27" s="146" t="s">
        <v>615</v>
      </c>
      <c r="X27" s="32"/>
      <c r="Y27" s="34" t="s">
        <v>622</v>
      </c>
      <c r="Z27" s="34" t="s">
        <v>621</v>
      </c>
      <c r="AA27" s="32"/>
      <c r="AB27" s="32"/>
      <c r="AC27" s="32"/>
      <c r="AD27" s="32"/>
      <c r="AE27" s="32"/>
      <c r="AF27" s="32"/>
      <c r="AG27" s="32"/>
      <c r="AH27" s="32"/>
    </row>
    <row r="28" spans="1:34" s="18" customFormat="1" ht="24" customHeight="1" x14ac:dyDescent="0.25">
      <c r="A28" s="19">
        <v>20</v>
      </c>
      <c r="B28" s="25" t="s">
        <v>664</v>
      </c>
      <c r="C28" s="24"/>
      <c r="D28" s="26" t="s">
        <v>21</v>
      </c>
      <c r="E28" s="27" t="s">
        <v>665</v>
      </c>
      <c r="F28" s="164"/>
      <c r="G28" s="26">
        <v>2024</v>
      </c>
      <c r="H28" s="28">
        <v>46121</v>
      </c>
      <c r="I28" s="28" t="s">
        <v>224</v>
      </c>
      <c r="J28" s="29">
        <v>77210000</v>
      </c>
      <c r="K28" s="29" t="s">
        <v>24</v>
      </c>
      <c r="L28" s="24"/>
      <c r="M28" s="29"/>
      <c r="N28" s="19" t="s">
        <v>669</v>
      </c>
      <c r="O28" s="35" t="s">
        <v>666</v>
      </c>
      <c r="P28" s="35" t="s">
        <v>27</v>
      </c>
      <c r="Q28" s="35"/>
      <c r="R28" s="35"/>
      <c r="S28" s="30"/>
      <c r="T28" s="157" t="s">
        <v>667</v>
      </c>
      <c r="U28" s="140" t="s">
        <v>668</v>
      </c>
      <c r="V28" s="146" t="s">
        <v>672</v>
      </c>
      <c r="W28" s="146"/>
      <c r="X28" s="32"/>
      <c r="Y28" s="34"/>
      <c r="Z28" s="34"/>
      <c r="AA28" s="32"/>
      <c r="AB28" s="32"/>
      <c r="AC28" s="32"/>
      <c r="AD28" s="32"/>
      <c r="AE28" s="32"/>
      <c r="AF28" s="32"/>
      <c r="AG28" s="32"/>
      <c r="AH28" s="32"/>
    </row>
    <row r="29" spans="1:34" s="18" customFormat="1" ht="24" customHeight="1" x14ac:dyDescent="0.25">
      <c r="A29" s="19">
        <v>21</v>
      </c>
      <c r="B29" s="25" t="s">
        <v>678</v>
      </c>
      <c r="C29" s="24"/>
      <c r="D29" s="26" t="s">
        <v>21</v>
      </c>
      <c r="E29" s="27" t="s">
        <v>679</v>
      </c>
      <c r="F29" s="164" t="s">
        <v>684</v>
      </c>
      <c r="G29" s="26">
        <v>2026</v>
      </c>
      <c r="H29" s="28">
        <v>46164</v>
      </c>
      <c r="I29" s="28" t="s">
        <v>52</v>
      </c>
      <c r="J29" s="29">
        <v>51350400</v>
      </c>
      <c r="K29" s="29" t="s">
        <v>257</v>
      </c>
      <c r="L29" s="24"/>
      <c r="M29" s="29"/>
      <c r="N29" s="19" t="s">
        <v>669</v>
      </c>
      <c r="O29" s="35" t="s">
        <v>680</v>
      </c>
      <c r="P29" s="35" t="s">
        <v>27</v>
      </c>
      <c r="Q29" s="35"/>
      <c r="R29" s="35"/>
      <c r="S29" s="30"/>
      <c r="T29" s="157" t="s">
        <v>683</v>
      </c>
      <c r="U29" s="140" t="s">
        <v>668</v>
      </c>
      <c r="V29" s="146" t="s">
        <v>624</v>
      </c>
      <c r="W29" s="146"/>
      <c r="X29" s="32"/>
      <c r="Y29" s="34"/>
      <c r="Z29" s="34"/>
      <c r="AA29" s="32"/>
      <c r="AB29" s="32"/>
      <c r="AC29" s="32"/>
      <c r="AD29" s="32"/>
      <c r="AE29" s="32"/>
      <c r="AF29" s="32"/>
      <c r="AG29" s="32"/>
      <c r="AH29" s="32"/>
    </row>
    <row r="30" spans="1:34" s="18" customFormat="1" ht="24" customHeight="1" x14ac:dyDescent="0.25">
      <c r="A30" s="19">
        <v>22</v>
      </c>
      <c r="B30" s="25" t="s">
        <v>678</v>
      </c>
      <c r="C30" s="24"/>
      <c r="D30" s="26" t="s">
        <v>21</v>
      </c>
      <c r="E30" s="27" t="s">
        <v>679</v>
      </c>
      <c r="F30" s="164" t="s">
        <v>685</v>
      </c>
      <c r="G30" s="26">
        <v>2026</v>
      </c>
      <c r="H30" s="28">
        <v>46164</v>
      </c>
      <c r="I30" s="28" t="s">
        <v>52</v>
      </c>
      <c r="J30" s="29">
        <v>51350400</v>
      </c>
      <c r="K30" s="29" t="s">
        <v>257</v>
      </c>
      <c r="L30" s="24"/>
      <c r="M30" s="29"/>
      <c r="N30" s="19" t="s">
        <v>669</v>
      </c>
      <c r="O30" s="35" t="s">
        <v>681</v>
      </c>
      <c r="P30" s="35" t="s">
        <v>27</v>
      </c>
      <c r="Q30" s="35"/>
      <c r="R30" s="35"/>
      <c r="S30" s="30"/>
      <c r="T30" s="157" t="s">
        <v>683</v>
      </c>
      <c r="U30" s="140" t="s">
        <v>668</v>
      </c>
      <c r="V30" s="146" t="s">
        <v>624</v>
      </c>
      <c r="W30" s="146"/>
      <c r="X30" s="32"/>
      <c r="Y30" s="34"/>
      <c r="Z30" s="34"/>
      <c r="AA30" s="32"/>
      <c r="AB30" s="32"/>
      <c r="AC30" s="32"/>
      <c r="AD30" s="32"/>
      <c r="AE30" s="32"/>
      <c r="AF30" s="32"/>
      <c r="AG30" s="32"/>
      <c r="AH30" s="32"/>
    </row>
    <row r="31" spans="1:34" s="18" customFormat="1" ht="24" customHeight="1" x14ac:dyDescent="0.25">
      <c r="A31" s="19">
        <v>23</v>
      </c>
      <c r="B31" s="25" t="s">
        <v>678</v>
      </c>
      <c r="C31" s="24"/>
      <c r="D31" s="26" t="s">
        <v>21</v>
      </c>
      <c r="E31" s="27" t="s">
        <v>679</v>
      </c>
      <c r="F31" s="164" t="s">
        <v>686</v>
      </c>
      <c r="G31" s="26">
        <v>2026</v>
      </c>
      <c r="H31" s="28">
        <v>46164</v>
      </c>
      <c r="I31" s="28" t="s">
        <v>52</v>
      </c>
      <c r="J31" s="29">
        <v>51350400</v>
      </c>
      <c r="K31" s="29" t="s">
        <v>257</v>
      </c>
      <c r="L31" s="24"/>
      <c r="M31" s="29"/>
      <c r="N31" s="19" t="s">
        <v>669</v>
      </c>
      <c r="O31" s="35" t="s">
        <v>682</v>
      </c>
      <c r="P31" s="35" t="s">
        <v>27</v>
      </c>
      <c r="Q31" s="35"/>
      <c r="R31" s="35"/>
      <c r="S31" s="30"/>
      <c r="T31" s="157" t="s">
        <v>683</v>
      </c>
      <c r="U31" s="140" t="s">
        <v>668</v>
      </c>
      <c r="V31" s="146" t="s">
        <v>624</v>
      </c>
      <c r="W31" s="146"/>
      <c r="X31" s="32"/>
      <c r="Y31" s="34"/>
      <c r="Z31" s="34"/>
      <c r="AA31" s="32"/>
      <c r="AB31" s="32"/>
      <c r="AC31" s="32"/>
      <c r="AD31" s="32"/>
      <c r="AE31" s="32"/>
      <c r="AF31" s="32"/>
      <c r="AG31" s="32"/>
      <c r="AH31" s="32"/>
    </row>
    <row r="32" spans="1:34" s="18" customFormat="1" ht="24" customHeight="1" x14ac:dyDescent="0.25">
      <c r="A32" s="19">
        <v>24</v>
      </c>
      <c r="B32" s="25" t="s">
        <v>678</v>
      </c>
      <c r="C32" s="24"/>
      <c r="D32" s="26" t="s">
        <v>21</v>
      </c>
      <c r="E32" s="27" t="s">
        <v>679</v>
      </c>
      <c r="F32" s="164" t="s">
        <v>687</v>
      </c>
      <c r="G32" s="26">
        <v>2026</v>
      </c>
      <c r="H32" s="28">
        <v>46164</v>
      </c>
      <c r="I32" s="28" t="s">
        <v>52</v>
      </c>
      <c r="J32" s="29">
        <v>51350400</v>
      </c>
      <c r="K32" s="29" t="s">
        <v>257</v>
      </c>
      <c r="L32" s="24"/>
      <c r="M32" s="29"/>
      <c r="N32" s="19" t="s">
        <v>669</v>
      </c>
      <c r="O32" s="35" t="s">
        <v>699</v>
      </c>
      <c r="P32" s="35"/>
      <c r="Q32" s="35"/>
      <c r="R32" s="35"/>
      <c r="S32" s="30"/>
      <c r="T32" s="157" t="s">
        <v>683</v>
      </c>
      <c r="U32" s="140" t="s">
        <v>668</v>
      </c>
      <c r="V32" s="146" t="s">
        <v>624</v>
      </c>
      <c r="W32" s="146"/>
      <c r="X32" s="32"/>
      <c r="Y32" s="34"/>
      <c r="Z32" s="34"/>
      <c r="AA32" s="32"/>
      <c r="AB32" s="32"/>
      <c r="AC32" s="32"/>
      <c r="AD32" s="32"/>
      <c r="AE32" s="32"/>
      <c r="AF32" s="32"/>
      <c r="AG32" s="32"/>
      <c r="AH32" s="32"/>
    </row>
    <row r="33" spans="1:34" s="18" customFormat="1" ht="24" customHeight="1" x14ac:dyDescent="0.25">
      <c r="A33" s="10" t="s">
        <v>102</v>
      </c>
      <c r="B33" s="11" t="s">
        <v>103</v>
      </c>
      <c r="C33" s="12"/>
      <c r="D33" s="13"/>
      <c r="E33" s="14"/>
      <c r="F33" s="13"/>
      <c r="G33" s="13"/>
      <c r="H33" s="15"/>
      <c r="I33" s="15"/>
      <c r="J33" s="16"/>
      <c r="K33" s="16"/>
      <c r="L33" s="12"/>
      <c r="M33" s="16"/>
      <c r="N33" s="13"/>
      <c r="O33" s="39"/>
      <c r="P33" s="39"/>
      <c r="Q33" s="39"/>
      <c r="R33" s="39"/>
      <c r="S33" s="40"/>
      <c r="T33" s="158"/>
      <c r="U33" s="141"/>
      <c r="V33" s="40"/>
      <c r="W33" s="145"/>
      <c r="X33" s="39"/>
      <c r="Y33" s="39"/>
      <c r="Z33" s="39"/>
      <c r="AA33" s="39"/>
      <c r="AB33" s="39"/>
      <c r="AC33" s="39"/>
      <c r="AD33" s="39"/>
      <c r="AE33" s="39"/>
      <c r="AF33" s="39"/>
      <c r="AG33" s="39"/>
      <c r="AH33" s="39"/>
    </row>
    <row r="34" spans="1:34" s="18" customFormat="1" ht="24" customHeight="1" x14ac:dyDescent="0.25">
      <c r="A34" s="26">
        <v>1</v>
      </c>
      <c r="B34" s="36" t="s">
        <v>212</v>
      </c>
      <c r="C34" s="24"/>
      <c r="D34" s="26" t="s">
        <v>213</v>
      </c>
      <c r="E34" s="43" t="s">
        <v>214</v>
      </c>
      <c r="F34" s="165"/>
      <c r="G34" s="26">
        <v>2021</v>
      </c>
      <c r="H34" s="28">
        <v>44656</v>
      </c>
      <c r="I34" s="28" t="s">
        <v>23</v>
      </c>
      <c r="J34" s="29">
        <v>33299000</v>
      </c>
      <c r="K34" s="29" t="s">
        <v>24</v>
      </c>
      <c r="L34" s="24"/>
      <c r="M34" s="29"/>
      <c r="N34" s="26" t="s">
        <v>215</v>
      </c>
      <c r="O34" s="35" t="s">
        <v>216</v>
      </c>
      <c r="P34" s="35" t="s">
        <v>27</v>
      </c>
      <c r="Q34" s="35"/>
      <c r="R34" s="35"/>
      <c r="S34" s="30"/>
      <c r="T34" s="157" t="s">
        <v>97</v>
      </c>
      <c r="U34" s="140"/>
      <c r="V34" s="146" t="s">
        <v>627</v>
      </c>
      <c r="W34" s="146" t="s">
        <v>619</v>
      </c>
      <c r="X34" s="32"/>
      <c r="Y34" s="34" t="s">
        <v>622</v>
      </c>
      <c r="Z34" s="34" t="s">
        <v>621</v>
      </c>
      <c r="AA34" s="34" t="s">
        <v>628</v>
      </c>
      <c r="AB34" s="32"/>
      <c r="AC34" s="32"/>
      <c r="AD34" s="32"/>
      <c r="AE34" s="32"/>
      <c r="AF34" s="32"/>
      <c r="AG34" s="32"/>
      <c r="AH34" s="32"/>
    </row>
    <row r="35" spans="1:34" s="18" customFormat="1" ht="24" customHeight="1" x14ac:dyDescent="0.25">
      <c r="A35" s="26">
        <v>2</v>
      </c>
      <c r="B35" s="36" t="s">
        <v>189</v>
      </c>
      <c r="C35" s="24"/>
      <c r="D35" s="26" t="s">
        <v>104</v>
      </c>
      <c r="E35" s="43" t="s">
        <v>190</v>
      </c>
      <c r="F35" s="165"/>
      <c r="G35" s="26">
        <v>2020</v>
      </c>
      <c r="H35" s="28">
        <v>44077</v>
      </c>
      <c r="I35" s="28" t="s">
        <v>117</v>
      </c>
      <c r="J35" s="29">
        <v>34293000</v>
      </c>
      <c r="K35" s="29" t="s">
        <v>24</v>
      </c>
      <c r="L35" s="24" t="s">
        <v>191</v>
      </c>
      <c r="M35" s="29">
        <v>10098000</v>
      </c>
      <c r="N35" s="26" t="s">
        <v>192</v>
      </c>
      <c r="O35" s="35" t="s">
        <v>58</v>
      </c>
      <c r="P35" s="35" t="s">
        <v>27</v>
      </c>
      <c r="Q35" s="35"/>
      <c r="R35" s="35"/>
      <c r="S35" s="30"/>
      <c r="T35" s="157" t="s">
        <v>183</v>
      </c>
      <c r="U35" s="142"/>
      <c r="V35" s="146" t="s">
        <v>627</v>
      </c>
      <c r="W35" s="146" t="s">
        <v>619</v>
      </c>
      <c r="X35" s="32"/>
      <c r="Y35" s="34" t="s">
        <v>622</v>
      </c>
      <c r="Z35" s="34" t="s">
        <v>621</v>
      </c>
      <c r="AA35" s="34" t="s">
        <v>628</v>
      </c>
      <c r="AB35" s="32"/>
      <c r="AC35" s="32"/>
      <c r="AD35" s="32"/>
      <c r="AE35" s="32"/>
      <c r="AF35" s="32"/>
      <c r="AG35" s="32"/>
      <c r="AH35" s="32"/>
    </row>
    <row r="36" spans="1:34" s="18" customFormat="1" ht="24" customHeight="1" x14ac:dyDescent="0.25">
      <c r="A36" s="26">
        <v>3</v>
      </c>
      <c r="B36" s="36" t="s">
        <v>128</v>
      </c>
      <c r="C36" s="24"/>
      <c r="D36" s="26" t="s">
        <v>104</v>
      </c>
      <c r="E36" s="43" t="s">
        <v>193</v>
      </c>
      <c r="F36" s="165"/>
      <c r="G36" s="26">
        <v>2015</v>
      </c>
      <c r="H36" s="28">
        <v>42236</v>
      </c>
      <c r="I36" s="28" t="s">
        <v>117</v>
      </c>
      <c r="J36" s="29">
        <v>7769000</v>
      </c>
      <c r="K36" s="29" t="s">
        <v>24</v>
      </c>
      <c r="L36" s="24"/>
      <c r="M36" s="29"/>
      <c r="N36" s="26" t="s">
        <v>447</v>
      </c>
      <c r="O36" s="35" t="s">
        <v>448</v>
      </c>
      <c r="P36" s="35" t="s">
        <v>27</v>
      </c>
      <c r="Q36" s="35"/>
      <c r="R36" s="35"/>
      <c r="S36" s="37" t="s">
        <v>194</v>
      </c>
      <c r="T36" s="157" t="s">
        <v>55</v>
      </c>
      <c r="U36" s="140"/>
      <c r="V36" s="146" t="s">
        <v>629</v>
      </c>
      <c r="W36" s="146"/>
      <c r="X36" s="32"/>
      <c r="Y36" s="34" t="s">
        <v>622</v>
      </c>
      <c r="Z36" s="34" t="s">
        <v>621</v>
      </c>
      <c r="AA36" s="34"/>
      <c r="AB36" s="32"/>
      <c r="AC36" s="32"/>
      <c r="AD36" s="32"/>
      <c r="AE36" s="32"/>
      <c r="AF36" s="32"/>
      <c r="AG36" s="32"/>
      <c r="AH36" s="32"/>
    </row>
    <row r="37" spans="1:34" s="18" customFormat="1" ht="24" customHeight="1" x14ac:dyDescent="0.25">
      <c r="A37" s="26">
        <v>4</v>
      </c>
      <c r="B37" s="20" t="s">
        <v>630</v>
      </c>
      <c r="C37" s="9"/>
      <c r="D37" s="19" t="s">
        <v>104</v>
      </c>
      <c r="E37" s="42" t="s">
        <v>438</v>
      </c>
      <c r="F37" s="156"/>
      <c r="G37" s="19">
        <v>2018</v>
      </c>
      <c r="H37" s="22">
        <v>43455</v>
      </c>
      <c r="I37" s="22" t="s">
        <v>105</v>
      </c>
      <c r="J37" s="23">
        <v>7350000</v>
      </c>
      <c r="K37" s="23" t="s">
        <v>24</v>
      </c>
      <c r="L37" s="9" t="s">
        <v>106</v>
      </c>
      <c r="M37" s="23">
        <v>2239000</v>
      </c>
      <c r="N37" s="19" t="s">
        <v>127</v>
      </c>
      <c r="O37" s="32" t="s">
        <v>107</v>
      </c>
      <c r="P37" s="32" t="s">
        <v>27</v>
      </c>
      <c r="Q37" s="32"/>
      <c r="R37" s="32"/>
      <c r="S37" s="33" t="s">
        <v>108</v>
      </c>
      <c r="T37" s="55"/>
      <c r="U37" s="139"/>
      <c r="V37" s="146" t="s">
        <v>618</v>
      </c>
      <c r="W37" s="146" t="s">
        <v>619</v>
      </c>
      <c r="X37" s="35"/>
      <c r="Y37" s="34" t="s">
        <v>622</v>
      </c>
      <c r="Z37" s="34" t="s">
        <v>621</v>
      </c>
      <c r="AA37" s="32"/>
      <c r="AB37" s="32"/>
      <c r="AC37" s="32"/>
      <c r="AD37" s="32"/>
      <c r="AE37" s="32"/>
      <c r="AF37" s="32"/>
      <c r="AG37" s="32"/>
      <c r="AH37" s="32"/>
    </row>
    <row r="38" spans="1:34" s="18" customFormat="1" ht="24" customHeight="1" x14ac:dyDescent="0.25">
      <c r="A38" s="26">
        <v>5</v>
      </c>
      <c r="B38" s="36" t="s">
        <v>125</v>
      </c>
      <c r="C38" s="24"/>
      <c r="D38" s="26" t="s">
        <v>104</v>
      </c>
      <c r="E38" s="42" t="s">
        <v>126</v>
      </c>
      <c r="F38" s="156"/>
      <c r="G38" s="26">
        <v>2022</v>
      </c>
      <c r="H38" s="28">
        <v>44736</v>
      </c>
      <c r="I38" s="28" t="s">
        <v>23</v>
      </c>
      <c r="J38" s="29">
        <v>17196000</v>
      </c>
      <c r="K38" s="29" t="s">
        <v>24</v>
      </c>
      <c r="L38" s="24"/>
      <c r="M38" s="29"/>
      <c r="N38" s="26" t="s">
        <v>127</v>
      </c>
      <c r="O38" s="35" t="s">
        <v>436</v>
      </c>
      <c r="P38" s="35" t="s">
        <v>27</v>
      </c>
      <c r="Q38" s="35"/>
      <c r="R38" s="35"/>
      <c r="S38" s="30" t="s">
        <v>436</v>
      </c>
      <c r="T38" s="157" t="s">
        <v>97</v>
      </c>
      <c r="U38" s="140"/>
      <c r="V38" s="146" t="s">
        <v>624</v>
      </c>
      <c r="W38" s="146" t="s">
        <v>615</v>
      </c>
      <c r="X38" s="32"/>
      <c r="Y38" s="34" t="s">
        <v>622</v>
      </c>
      <c r="Z38" s="34" t="s">
        <v>621</v>
      </c>
      <c r="AA38" s="32"/>
      <c r="AB38" s="32"/>
      <c r="AC38" s="32"/>
      <c r="AD38" s="32"/>
      <c r="AE38" s="32"/>
      <c r="AF38" s="32"/>
      <c r="AG38" s="32"/>
      <c r="AH38" s="32"/>
    </row>
    <row r="39" spans="1:34" s="18" customFormat="1" ht="24" customHeight="1" x14ac:dyDescent="0.25">
      <c r="A39" s="26">
        <v>6</v>
      </c>
      <c r="B39" s="36" t="s">
        <v>165</v>
      </c>
      <c r="C39" s="9"/>
      <c r="D39" s="26" t="s">
        <v>104</v>
      </c>
      <c r="E39" s="43" t="s">
        <v>166</v>
      </c>
      <c r="F39" s="165"/>
      <c r="G39" s="26">
        <v>2018</v>
      </c>
      <c r="H39" s="28">
        <v>43384</v>
      </c>
      <c r="I39" s="28" t="s">
        <v>23</v>
      </c>
      <c r="J39" s="29">
        <v>18440000</v>
      </c>
      <c r="K39" s="29" t="s">
        <v>24</v>
      </c>
      <c r="L39" s="24"/>
      <c r="M39" s="29"/>
      <c r="N39" s="26" t="s">
        <v>167</v>
      </c>
      <c r="O39" s="35" t="s">
        <v>83</v>
      </c>
      <c r="P39" s="35" t="s">
        <v>27</v>
      </c>
      <c r="Q39" s="35"/>
      <c r="R39" s="35"/>
      <c r="S39" s="30" t="s">
        <v>168</v>
      </c>
      <c r="T39" s="55" t="s">
        <v>115</v>
      </c>
      <c r="U39" s="140"/>
      <c r="V39" s="146" t="s">
        <v>618</v>
      </c>
      <c r="W39" s="34" t="s">
        <v>617</v>
      </c>
      <c r="X39" s="35"/>
      <c r="Y39" s="34" t="s">
        <v>622</v>
      </c>
      <c r="Z39" s="34" t="s">
        <v>621</v>
      </c>
      <c r="AA39" s="32"/>
      <c r="AB39" s="32"/>
      <c r="AC39" s="32"/>
      <c r="AD39" s="32"/>
      <c r="AE39" s="32"/>
      <c r="AF39" s="32"/>
      <c r="AG39" s="32"/>
      <c r="AH39" s="32"/>
    </row>
    <row r="40" spans="1:34" s="18" customFormat="1" ht="24" customHeight="1" x14ac:dyDescent="0.25">
      <c r="A40" s="26">
        <v>7</v>
      </c>
      <c r="B40" s="36" t="s">
        <v>169</v>
      </c>
      <c r="C40" s="24"/>
      <c r="D40" s="26" t="s">
        <v>104</v>
      </c>
      <c r="E40" s="43" t="s">
        <v>439</v>
      </c>
      <c r="F40" s="165"/>
      <c r="G40" s="26">
        <v>2018</v>
      </c>
      <c r="H40" s="28">
        <v>43455</v>
      </c>
      <c r="I40" s="28" t="s">
        <v>105</v>
      </c>
      <c r="J40" s="29">
        <f>7350000+3299000</f>
        <v>10649000</v>
      </c>
      <c r="K40" s="29" t="s">
        <v>24</v>
      </c>
      <c r="L40" s="24" t="s">
        <v>170</v>
      </c>
      <c r="M40" s="29">
        <f>2048000 +629000</f>
        <v>2677000</v>
      </c>
      <c r="N40" s="26" t="s">
        <v>167</v>
      </c>
      <c r="O40" s="35" t="s">
        <v>171</v>
      </c>
      <c r="P40" s="35" t="s">
        <v>27</v>
      </c>
      <c r="Q40" s="35"/>
      <c r="R40" s="35"/>
      <c r="S40" s="30" t="s">
        <v>172</v>
      </c>
      <c r="T40" s="157" t="s">
        <v>115</v>
      </c>
      <c r="U40" s="140"/>
      <c r="V40" s="146" t="s">
        <v>616</v>
      </c>
      <c r="W40" s="34" t="s">
        <v>617</v>
      </c>
      <c r="X40" s="32"/>
      <c r="Y40" s="34" t="s">
        <v>622</v>
      </c>
      <c r="Z40" s="34" t="s">
        <v>621</v>
      </c>
      <c r="AA40" s="32"/>
      <c r="AB40" s="32"/>
      <c r="AC40" s="32"/>
      <c r="AD40" s="32"/>
      <c r="AE40" s="32"/>
      <c r="AF40" s="32"/>
      <c r="AG40" s="32"/>
      <c r="AH40" s="32"/>
    </row>
    <row r="41" spans="1:34" s="18" customFormat="1" ht="24" customHeight="1" x14ac:dyDescent="0.25">
      <c r="A41" s="26">
        <v>8</v>
      </c>
      <c r="B41" s="36" t="s">
        <v>124</v>
      </c>
      <c r="C41" s="24"/>
      <c r="D41" s="26" t="s">
        <v>104</v>
      </c>
      <c r="E41" s="43" t="s">
        <v>480</v>
      </c>
      <c r="F41" s="165"/>
      <c r="G41" s="26">
        <v>2018</v>
      </c>
      <c r="H41" s="28">
        <v>43775</v>
      </c>
      <c r="I41" s="28" t="s">
        <v>23</v>
      </c>
      <c r="J41" s="29">
        <f>7690000+2585000</f>
        <v>10275000</v>
      </c>
      <c r="K41" s="29" t="s">
        <v>24</v>
      </c>
      <c r="L41" s="24" t="s">
        <v>479</v>
      </c>
      <c r="M41" s="29">
        <v>2800000</v>
      </c>
      <c r="N41" s="26" t="s">
        <v>167</v>
      </c>
      <c r="O41" s="35" t="s">
        <v>177</v>
      </c>
      <c r="P41" s="35" t="s">
        <v>27</v>
      </c>
      <c r="Q41" s="35">
        <v>2026</v>
      </c>
      <c r="R41" s="35"/>
      <c r="S41" s="30" t="s">
        <v>178</v>
      </c>
      <c r="T41" s="157" t="s">
        <v>55</v>
      </c>
      <c r="U41" s="140" t="s">
        <v>462</v>
      </c>
      <c r="V41" s="146" t="s">
        <v>631</v>
      </c>
      <c r="W41" s="34" t="s">
        <v>617</v>
      </c>
      <c r="X41" s="35"/>
      <c r="Y41" s="34" t="s">
        <v>622</v>
      </c>
      <c r="Z41" s="34" t="s">
        <v>621</v>
      </c>
      <c r="AA41" s="32"/>
      <c r="AB41" s="32"/>
      <c r="AC41" s="32"/>
      <c r="AD41" s="32"/>
      <c r="AE41" s="32"/>
      <c r="AF41" s="32"/>
      <c r="AG41" s="32"/>
      <c r="AH41" s="32"/>
    </row>
    <row r="42" spans="1:34" s="18" customFormat="1" ht="24" customHeight="1" x14ac:dyDescent="0.25">
      <c r="A42" s="26">
        <v>9</v>
      </c>
      <c r="B42" s="36" t="s">
        <v>185</v>
      </c>
      <c r="C42" s="24"/>
      <c r="D42" s="26" t="s">
        <v>104</v>
      </c>
      <c r="E42" s="43" t="s">
        <v>186</v>
      </c>
      <c r="F42" s="165"/>
      <c r="G42" s="26">
        <v>2022</v>
      </c>
      <c r="H42" s="28">
        <v>44768</v>
      </c>
      <c r="I42" s="28" t="s">
        <v>23</v>
      </c>
      <c r="J42" s="29">
        <v>16116000</v>
      </c>
      <c r="K42" s="29" t="s">
        <v>24</v>
      </c>
      <c r="L42" s="24"/>
      <c r="M42" s="29"/>
      <c r="N42" s="26" t="s">
        <v>167</v>
      </c>
      <c r="O42" s="26" t="s">
        <v>187</v>
      </c>
      <c r="P42" s="35" t="s">
        <v>27</v>
      </c>
      <c r="Q42" s="35"/>
      <c r="R42" s="35"/>
      <c r="S42" s="50" t="s">
        <v>188</v>
      </c>
      <c r="T42" s="157" t="s">
        <v>183</v>
      </c>
      <c r="U42" s="142"/>
      <c r="V42" s="146" t="s">
        <v>624</v>
      </c>
      <c r="W42" s="34" t="s">
        <v>617</v>
      </c>
      <c r="X42" s="32"/>
      <c r="Y42" s="34" t="s">
        <v>622</v>
      </c>
      <c r="Z42" s="34" t="s">
        <v>621</v>
      </c>
      <c r="AA42" s="32"/>
      <c r="AB42" s="32"/>
      <c r="AC42" s="32"/>
      <c r="AD42" s="32"/>
      <c r="AE42" s="32"/>
      <c r="AF42" s="32"/>
      <c r="AG42" s="32"/>
      <c r="AH42" s="32"/>
    </row>
    <row r="43" spans="1:34" s="18" customFormat="1" ht="24" customHeight="1" x14ac:dyDescent="0.25">
      <c r="A43" s="26">
        <v>10</v>
      </c>
      <c r="B43" s="20" t="s">
        <v>109</v>
      </c>
      <c r="C43" s="9"/>
      <c r="D43" s="19" t="s">
        <v>104</v>
      </c>
      <c r="E43" s="42" t="s">
        <v>110</v>
      </c>
      <c r="F43" s="156"/>
      <c r="G43" s="19">
        <v>2017</v>
      </c>
      <c r="H43" s="22">
        <v>43099</v>
      </c>
      <c r="I43" s="22" t="s">
        <v>23</v>
      </c>
      <c r="J43" s="23">
        <v>16540000</v>
      </c>
      <c r="K43" s="23" t="s">
        <v>24</v>
      </c>
      <c r="L43" s="9" t="s">
        <v>111</v>
      </c>
      <c r="M43" s="23">
        <v>629000</v>
      </c>
      <c r="N43" s="19" t="s">
        <v>167</v>
      </c>
      <c r="O43" s="32" t="s">
        <v>112</v>
      </c>
      <c r="P43" s="32" t="s">
        <v>27</v>
      </c>
      <c r="Q43" s="32"/>
      <c r="R43" s="32"/>
      <c r="S43" s="33" t="s">
        <v>113</v>
      </c>
      <c r="T43" s="55" t="s">
        <v>69</v>
      </c>
      <c r="U43" s="139"/>
      <c r="V43" s="146" t="s">
        <v>627</v>
      </c>
      <c r="W43" s="146" t="s">
        <v>619</v>
      </c>
      <c r="X43" s="32"/>
      <c r="Y43" s="34" t="s">
        <v>622</v>
      </c>
      <c r="Z43" s="34" t="s">
        <v>621</v>
      </c>
      <c r="AA43" s="32"/>
      <c r="AB43" s="32"/>
      <c r="AC43" s="32"/>
      <c r="AD43" s="32"/>
      <c r="AE43" s="32"/>
      <c r="AF43" s="32"/>
      <c r="AG43" s="32"/>
      <c r="AH43" s="32"/>
    </row>
    <row r="44" spans="1:34" s="18" customFormat="1" ht="24" customHeight="1" x14ac:dyDescent="0.25">
      <c r="A44" s="26">
        <v>11</v>
      </c>
      <c r="B44" s="36" t="s">
        <v>173</v>
      </c>
      <c r="C44" s="24"/>
      <c r="D44" s="26" t="s">
        <v>104</v>
      </c>
      <c r="E44" s="43" t="s">
        <v>174</v>
      </c>
      <c r="F44" s="165"/>
      <c r="G44" s="26">
        <v>2014</v>
      </c>
      <c r="H44" s="28">
        <v>41967</v>
      </c>
      <c r="I44" s="28" t="s">
        <v>117</v>
      </c>
      <c r="J44" s="29">
        <v>3649000</v>
      </c>
      <c r="K44" s="29" t="s">
        <v>24</v>
      </c>
      <c r="L44" s="24" t="s">
        <v>175</v>
      </c>
      <c r="M44" s="29">
        <v>3649000</v>
      </c>
      <c r="N44" s="26" t="s">
        <v>176</v>
      </c>
      <c r="O44" s="26" t="s">
        <v>442</v>
      </c>
      <c r="P44" s="35" t="s">
        <v>27</v>
      </c>
      <c r="Q44" s="35"/>
      <c r="R44" s="35"/>
      <c r="S44" s="30" t="s">
        <v>441</v>
      </c>
      <c r="T44" s="157" t="s">
        <v>115</v>
      </c>
      <c r="U44" s="140"/>
      <c r="V44" s="146" t="s">
        <v>632</v>
      </c>
      <c r="W44" s="34" t="s">
        <v>617</v>
      </c>
      <c r="X44" s="32"/>
      <c r="Y44" s="34" t="s">
        <v>622</v>
      </c>
      <c r="Z44" s="34" t="s">
        <v>621</v>
      </c>
      <c r="AA44" s="32"/>
      <c r="AB44" s="32"/>
      <c r="AC44" s="32"/>
      <c r="AD44" s="32"/>
      <c r="AE44" s="32"/>
      <c r="AF44" s="32"/>
      <c r="AG44" s="32"/>
      <c r="AH44" s="32"/>
    </row>
    <row r="45" spans="1:34" s="18" customFormat="1" ht="24" customHeight="1" x14ac:dyDescent="0.25">
      <c r="A45" s="26">
        <v>12</v>
      </c>
      <c r="B45" s="36" t="s">
        <v>217</v>
      </c>
      <c r="C45" s="24"/>
      <c r="D45" s="26" t="s">
        <v>104</v>
      </c>
      <c r="E45" s="43" t="s">
        <v>218</v>
      </c>
      <c r="F45" s="165"/>
      <c r="G45" s="26">
        <v>2024</v>
      </c>
      <c r="H45" s="28">
        <v>45657</v>
      </c>
      <c r="I45" s="28" t="s">
        <v>117</v>
      </c>
      <c r="J45" s="29">
        <v>19500000</v>
      </c>
      <c r="K45" s="29" t="s">
        <v>24</v>
      </c>
      <c r="L45" s="24"/>
      <c r="M45" s="29"/>
      <c r="N45" s="26" t="s">
        <v>219</v>
      </c>
      <c r="O45" s="35" t="s">
        <v>96</v>
      </c>
      <c r="P45" s="35" t="s">
        <v>27</v>
      </c>
      <c r="Q45" s="35"/>
      <c r="R45" s="35"/>
      <c r="S45" s="30"/>
      <c r="T45" s="157" t="s">
        <v>97</v>
      </c>
      <c r="U45" s="140"/>
      <c r="V45" s="146" t="s">
        <v>633</v>
      </c>
      <c r="W45" s="34" t="s">
        <v>634</v>
      </c>
      <c r="X45" s="32"/>
      <c r="Y45" s="34" t="s">
        <v>622</v>
      </c>
      <c r="Z45" s="34" t="s">
        <v>621</v>
      </c>
      <c r="AA45" s="32"/>
      <c r="AB45" s="32"/>
      <c r="AC45" s="32"/>
      <c r="AD45" s="32"/>
      <c r="AE45" s="32"/>
      <c r="AF45" s="32"/>
      <c r="AG45" s="32"/>
      <c r="AH45" s="32"/>
    </row>
    <row r="46" spans="1:34" s="18" customFormat="1" ht="24" customHeight="1" x14ac:dyDescent="0.25">
      <c r="A46" s="26">
        <v>13</v>
      </c>
      <c r="B46" s="36" t="s">
        <v>179</v>
      </c>
      <c r="C46" s="24"/>
      <c r="D46" s="26" t="s">
        <v>104</v>
      </c>
      <c r="E46" s="43" t="s">
        <v>180</v>
      </c>
      <c r="F46" s="165"/>
      <c r="G46" s="26">
        <v>2019</v>
      </c>
      <c r="H46" s="28">
        <v>43638</v>
      </c>
      <c r="I46" s="28" t="s">
        <v>117</v>
      </c>
      <c r="J46" s="29">
        <v>15276000</v>
      </c>
      <c r="K46" s="29" t="s">
        <v>24</v>
      </c>
      <c r="L46" s="24"/>
      <c r="M46" s="29"/>
      <c r="N46" s="26" t="s">
        <v>219</v>
      </c>
      <c r="O46" s="35" t="s">
        <v>181</v>
      </c>
      <c r="P46" s="35" t="s">
        <v>27</v>
      </c>
      <c r="Q46" s="35"/>
      <c r="R46" s="35"/>
      <c r="S46" s="30" t="s">
        <v>182</v>
      </c>
      <c r="T46" s="157" t="s">
        <v>183</v>
      </c>
      <c r="U46" s="142" t="s">
        <v>184</v>
      </c>
      <c r="V46" s="146" t="s">
        <v>631</v>
      </c>
      <c r="W46" s="34" t="s">
        <v>617</v>
      </c>
      <c r="X46" s="32"/>
      <c r="Y46" s="34" t="s">
        <v>622</v>
      </c>
      <c r="Z46" s="34" t="s">
        <v>621</v>
      </c>
      <c r="AA46" s="32"/>
      <c r="AB46" s="32"/>
      <c r="AC46" s="32"/>
      <c r="AD46" s="32"/>
      <c r="AE46" s="32"/>
      <c r="AF46" s="32"/>
      <c r="AG46" s="32"/>
      <c r="AH46" s="32"/>
    </row>
    <row r="47" spans="1:34" s="18" customFormat="1" ht="24" customHeight="1" x14ac:dyDescent="0.25">
      <c r="A47" s="26">
        <v>14</v>
      </c>
      <c r="B47" s="36" t="s">
        <v>130</v>
      </c>
      <c r="C47" s="9"/>
      <c r="D47" s="26" t="s">
        <v>104</v>
      </c>
      <c r="E47" s="43" t="s">
        <v>131</v>
      </c>
      <c r="F47" s="165"/>
      <c r="G47" s="26">
        <v>2018</v>
      </c>
      <c r="H47" s="28">
        <v>43320</v>
      </c>
      <c r="I47" s="28" t="s">
        <v>23</v>
      </c>
      <c r="J47" s="29">
        <f>7450000 + 3399000</f>
        <v>10849000</v>
      </c>
      <c r="K47" s="29" t="s">
        <v>24</v>
      </c>
      <c r="L47" s="24" t="s">
        <v>132</v>
      </c>
      <c r="M47" s="29">
        <f>3399000+1499000</f>
        <v>4898000</v>
      </c>
      <c r="N47" s="26" t="s">
        <v>219</v>
      </c>
      <c r="O47" s="35" t="s">
        <v>133</v>
      </c>
      <c r="P47" s="35" t="s">
        <v>27</v>
      </c>
      <c r="Q47" s="35"/>
      <c r="R47" s="35"/>
      <c r="S47" s="30"/>
      <c r="T47" s="157" t="s">
        <v>115</v>
      </c>
      <c r="U47" s="140"/>
      <c r="V47" s="146" t="s">
        <v>627</v>
      </c>
      <c r="W47" s="146" t="s">
        <v>619</v>
      </c>
      <c r="X47" s="32"/>
      <c r="Y47" s="34" t="s">
        <v>622</v>
      </c>
      <c r="Z47" s="34" t="s">
        <v>621</v>
      </c>
      <c r="AA47" s="32"/>
      <c r="AB47" s="32"/>
      <c r="AC47" s="32"/>
      <c r="AD47" s="32"/>
      <c r="AE47" s="32"/>
      <c r="AF47" s="32"/>
      <c r="AG47" s="32"/>
      <c r="AH47" s="32"/>
    </row>
    <row r="48" spans="1:34" s="18" customFormat="1" ht="24" customHeight="1" x14ac:dyDescent="0.25">
      <c r="A48" s="26">
        <v>15</v>
      </c>
      <c r="B48" s="51" t="s">
        <v>118</v>
      </c>
      <c r="C48" s="47"/>
      <c r="D48" s="44" t="s">
        <v>104</v>
      </c>
      <c r="E48" s="52" t="s">
        <v>195</v>
      </c>
      <c r="F48" s="166"/>
      <c r="G48" s="44">
        <v>2020</v>
      </c>
      <c r="H48" s="45">
        <v>44004</v>
      </c>
      <c r="I48" s="45" t="s">
        <v>105</v>
      </c>
      <c r="J48" s="46">
        <v>13347000</v>
      </c>
      <c r="K48" s="46" t="s">
        <v>24</v>
      </c>
      <c r="L48" s="47"/>
      <c r="M48" s="46"/>
      <c r="N48" s="44" t="s">
        <v>310</v>
      </c>
      <c r="O48" s="48" t="s">
        <v>75</v>
      </c>
      <c r="P48" s="48" t="s">
        <v>27</v>
      </c>
      <c r="Q48" s="48"/>
      <c r="R48" s="48"/>
      <c r="S48" s="49" t="s">
        <v>196</v>
      </c>
      <c r="T48" s="159" t="s">
        <v>97</v>
      </c>
      <c r="U48" s="143"/>
      <c r="V48" s="146" t="s">
        <v>633</v>
      </c>
      <c r="W48" s="34" t="s">
        <v>617</v>
      </c>
      <c r="X48" s="32"/>
      <c r="Y48" s="34" t="s">
        <v>622</v>
      </c>
      <c r="Z48" s="34" t="s">
        <v>621</v>
      </c>
      <c r="AA48" s="32"/>
      <c r="AB48" s="32"/>
      <c r="AC48" s="32"/>
      <c r="AD48" s="32"/>
      <c r="AE48" s="32"/>
      <c r="AF48" s="32"/>
      <c r="AG48" s="32"/>
      <c r="AH48" s="32"/>
    </row>
    <row r="49" spans="1:34" s="18" customFormat="1" ht="24" customHeight="1" x14ac:dyDescent="0.25">
      <c r="A49" s="26">
        <v>16</v>
      </c>
      <c r="B49" s="36" t="s">
        <v>123</v>
      </c>
      <c r="C49" s="24"/>
      <c r="D49" s="26" t="s">
        <v>104</v>
      </c>
      <c r="E49" s="43" t="s">
        <v>199</v>
      </c>
      <c r="F49" s="165"/>
      <c r="G49" s="26">
        <v>2018</v>
      </c>
      <c r="H49" s="28">
        <v>43320</v>
      </c>
      <c r="I49" s="28" t="s">
        <v>105</v>
      </c>
      <c r="J49" s="29">
        <v>7450000</v>
      </c>
      <c r="K49" s="29" t="s">
        <v>24</v>
      </c>
      <c r="L49" s="24" t="s">
        <v>134</v>
      </c>
      <c r="M49" s="29">
        <v>1466000</v>
      </c>
      <c r="N49" s="44" t="s">
        <v>310</v>
      </c>
      <c r="O49" s="35" t="s">
        <v>200</v>
      </c>
      <c r="P49" s="35" t="s">
        <v>27</v>
      </c>
      <c r="Q49" s="35"/>
      <c r="R49" s="35"/>
      <c r="S49" s="30" t="s">
        <v>201</v>
      </c>
      <c r="T49" s="157" t="s">
        <v>202</v>
      </c>
      <c r="U49" s="140"/>
      <c r="V49" s="146" t="s">
        <v>627</v>
      </c>
      <c r="W49" s="146" t="s">
        <v>619</v>
      </c>
      <c r="X49" s="32"/>
      <c r="Y49" s="34" t="s">
        <v>622</v>
      </c>
      <c r="Z49" s="34" t="s">
        <v>621</v>
      </c>
      <c r="AA49" s="32"/>
      <c r="AB49" s="32"/>
      <c r="AC49" s="32"/>
      <c r="AD49" s="32"/>
      <c r="AE49" s="32"/>
      <c r="AF49" s="32"/>
      <c r="AG49" s="32"/>
      <c r="AH49" s="32"/>
    </row>
    <row r="50" spans="1:34" s="18" customFormat="1" ht="24" customHeight="1" x14ac:dyDescent="0.25">
      <c r="A50" s="26">
        <v>17</v>
      </c>
      <c r="B50" s="36" t="s">
        <v>205</v>
      </c>
      <c r="C50" s="9"/>
      <c r="D50" s="26" t="s">
        <v>104</v>
      </c>
      <c r="E50" s="43" t="s">
        <v>206</v>
      </c>
      <c r="F50" s="165"/>
      <c r="G50" s="26">
        <v>2020</v>
      </c>
      <c r="H50" s="28">
        <v>43963</v>
      </c>
      <c r="I50" s="28" t="s">
        <v>117</v>
      </c>
      <c r="J50" s="29">
        <f>41679000+5050000</f>
        <v>46729000</v>
      </c>
      <c r="K50" s="29" t="s">
        <v>24</v>
      </c>
      <c r="L50" s="24" t="s">
        <v>207</v>
      </c>
      <c r="M50" s="29">
        <f>4400000+4800000</f>
        <v>9200000</v>
      </c>
      <c r="N50" s="19" t="s">
        <v>435</v>
      </c>
      <c r="O50" s="35" t="s">
        <v>208</v>
      </c>
      <c r="P50" s="35" t="s">
        <v>27</v>
      </c>
      <c r="Q50" s="35"/>
      <c r="R50" s="35"/>
      <c r="S50" s="37" t="s">
        <v>444</v>
      </c>
      <c r="T50" s="157" t="s">
        <v>97</v>
      </c>
      <c r="U50" s="140"/>
      <c r="V50" s="146" t="s">
        <v>633</v>
      </c>
      <c r="W50" s="34" t="s">
        <v>635</v>
      </c>
      <c r="X50" s="32"/>
      <c r="Y50" s="34" t="s">
        <v>622</v>
      </c>
      <c r="Z50" s="34" t="s">
        <v>621</v>
      </c>
      <c r="AA50" s="32"/>
      <c r="AB50" s="34" t="s">
        <v>636</v>
      </c>
      <c r="AC50" s="34" t="s">
        <v>637</v>
      </c>
      <c r="AD50" s="32"/>
      <c r="AE50" s="32"/>
      <c r="AF50" s="32"/>
      <c r="AG50" s="34" t="s">
        <v>638</v>
      </c>
      <c r="AH50" s="32"/>
    </row>
    <row r="51" spans="1:34" s="18" customFormat="1" ht="24" customHeight="1" x14ac:dyDescent="0.25">
      <c r="A51" s="26">
        <v>18</v>
      </c>
      <c r="B51" s="36" t="s">
        <v>209</v>
      </c>
      <c r="C51" s="24"/>
      <c r="D51" s="26" t="s">
        <v>104</v>
      </c>
      <c r="E51" s="43" t="s">
        <v>210</v>
      </c>
      <c r="F51" s="165"/>
      <c r="G51" s="26">
        <v>2025</v>
      </c>
      <c r="H51" s="28">
        <v>45733</v>
      </c>
      <c r="I51" s="28" t="s">
        <v>117</v>
      </c>
      <c r="J51" s="29">
        <v>46717000</v>
      </c>
      <c r="K51" s="29" t="s">
        <v>24</v>
      </c>
      <c r="L51" s="24"/>
      <c r="M51" s="29"/>
      <c r="N51" s="19" t="s">
        <v>435</v>
      </c>
      <c r="O51" s="35" t="s">
        <v>211</v>
      </c>
      <c r="P51" s="35" t="s">
        <v>27</v>
      </c>
      <c r="Q51" s="35"/>
      <c r="R51" s="35"/>
      <c r="S51" s="30"/>
      <c r="T51" s="157" t="s">
        <v>97</v>
      </c>
      <c r="U51" s="140"/>
      <c r="V51" s="146" t="s">
        <v>633</v>
      </c>
      <c r="W51" s="34" t="s">
        <v>635</v>
      </c>
      <c r="X51" s="32"/>
      <c r="Y51" s="34" t="s">
        <v>622</v>
      </c>
      <c r="Z51" s="34" t="s">
        <v>621</v>
      </c>
      <c r="AA51" s="32"/>
      <c r="AB51" s="34" t="s">
        <v>636</v>
      </c>
      <c r="AC51" s="34" t="s">
        <v>637</v>
      </c>
      <c r="AD51" s="32"/>
      <c r="AE51" s="32"/>
      <c r="AF51" s="32"/>
      <c r="AG51" s="34" t="s">
        <v>638</v>
      </c>
      <c r="AH51" s="32"/>
    </row>
    <row r="52" spans="1:34" s="18" customFormat="1" ht="24" customHeight="1" x14ac:dyDescent="0.25">
      <c r="A52" s="26">
        <v>19</v>
      </c>
      <c r="B52" s="36" t="s">
        <v>120</v>
      </c>
      <c r="C52" s="24"/>
      <c r="D52" s="26" t="s">
        <v>104</v>
      </c>
      <c r="E52" s="43" t="s">
        <v>121</v>
      </c>
      <c r="F52" s="165"/>
      <c r="G52" s="26">
        <v>2021</v>
      </c>
      <c r="H52" s="28">
        <v>44216</v>
      </c>
      <c r="I52" s="28" t="s">
        <v>23</v>
      </c>
      <c r="J52" s="29">
        <v>11700000</v>
      </c>
      <c r="K52" s="29" t="s">
        <v>24</v>
      </c>
      <c r="L52" s="24"/>
      <c r="M52" s="29"/>
      <c r="N52" s="19" t="s">
        <v>435</v>
      </c>
      <c r="O52" s="35" t="s">
        <v>122</v>
      </c>
      <c r="P52" s="35" t="s">
        <v>27</v>
      </c>
      <c r="Q52" s="35"/>
      <c r="R52" s="35"/>
      <c r="S52" s="30"/>
      <c r="T52" s="157" t="s">
        <v>97</v>
      </c>
      <c r="U52" s="140"/>
      <c r="V52" s="146" t="s">
        <v>626</v>
      </c>
      <c r="W52" s="146" t="s">
        <v>619</v>
      </c>
      <c r="X52" s="32"/>
      <c r="Y52" s="34" t="s">
        <v>622</v>
      </c>
      <c r="Z52" s="34" t="s">
        <v>621</v>
      </c>
      <c r="AA52" s="32"/>
      <c r="AB52" s="32"/>
      <c r="AC52" s="32"/>
      <c r="AD52" s="32"/>
      <c r="AE52" s="32"/>
      <c r="AF52" s="32"/>
      <c r="AG52" s="32"/>
      <c r="AH52" s="32"/>
    </row>
    <row r="53" spans="1:34" s="18" customFormat="1" ht="24" customHeight="1" x14ac:dyDescent="0.25">
      <c r="A53" s="26">
        <v>20</v>
      </c>
      <c r="B53" s="36" t="s">
        <v>203</v>
      </c>
      <c r="C53" s="9"/>
      <c r="D53" s="26" t="s">
        <v>104</v>
      </c>
      <c r="E53" s="43" t="s">
        <v>443</v>
      </c>
      <c r="F53" s="165"/>
      <c r="G53" s="26">
        <v>2020</v>
      </c>
      <c r="H53" s="28">
        <v>43956</v>
      </c>
      <c r="I53" s="28" t="s">
        <v>105</v>
      </c>
      <c r="J53" s="29">
        <f>7880000+2600000</f>
        <v>10480000</v>
      </c>
      <c r="K53" s="29" t="s">
        <v>24</v>
      </c>
      <c r="L53" s="24" t="s">
        <v>204</v>
      </c>
      <c r="M53" s="29">
        <f>549000+4799000</f>
        <v>5348000</v>
      </c>
      <c r="N53" s="19" t="s">
        <v>435</v>
      </c>
      <c r="O53" s="35" t="s">
        <v>446</v>
      </c>
      <c r="P53" s="35" t="s">
        <v>27</v>
      </c>
      <c r="Q53" s="35"/>
      <c r="R53" s="35"/>
      <c r="S53" s="30" t="s">
        <v>445</v>
      </c>
      <c r="T53" s="157" t="s">
        <v>62</v>
      </c>
      <c r="U53" s="140"/>
      <c r="V53" s="146" t="s">
        <v>627</v>
      </c>
      <c r="W53" s="146" t="s">
        <v>619</v>
      </c>
      <c r="X53" s="32"/>
      <c r="Y53" s="34" t="s">
        <v>622</v>
      </c>
      <c r="Z53" s="34" t="s">
        <v>621</v>
      </c>
      <c r="AA53" s="32"/>
      <c r="AB53" s="32"/>
      <c r="AC53" s="32"/>
      <c r="AD53" s="32"/>
      <c r="AE53" s="32"/>
      <c r="AF53" s="32"/>
      <c r="AG53" s="32"/>
      <c r="AH53" s="32"/>
    </row>
    <row r="54" spans="1:34" s="31" customFormat="1" ht="24" customHeight="1" x14ac:dyDescent="0.25">
      <c r="A54" s="26">
        <v>21</v>
      </c>
      <c r="B54" s="36" t="s">
        <v>123</v>
      </c>
      <c r="C54" s="9"/>
      <c r="D54" s="26" t="s">
        <v>104</v>
      </c>
      <c r="E54" s="43" t="s">
        <v>129</v>
      </c>
      <c r="F54" s="165"/>
      <c r="G54" s="26">
        <v>2018</v>
      </c>
      <c r="H54" s="28">
        <v>43320</v>
      </c>
      <c r="I54" s="28" t="s">
        <v>23</v>
      </c>
      <c r="J54" s="29">
        <f>10030000+4947000</f>
        <v>14977000</v>
      </c>
      <c r="K54" s="29" t="s">
        <v>24</v>
      </c>
      <c r="L54" s="24" t="s">
        <v>34</v>
      </c>
      <c r="M54" s="29">
        <v>4947000</v>
      </c>
      <c r="N54" s="26" t="s">
        <v>437</v>
      </c>
      <c r="O54" s="35" t="s">
        <v>61</v>
      </c>
      <c r="P54" s="35" t="s">
        <v>27</v>
      </c>
      <c r="Q54" s="35"/>
      <c r="R54" s="35"/>
      <c r="S54" s="30"/>
      <c r="T54" s="157" t="s">
        <v>115</v>
      </c>
      <c r="U54" s="140"/>
      <c r="V54" s="146" t="s">
        <v>632</v>
      </c>
      <c r="W54" s="34" t="s">
        <v>639</v>
      </c>
      <c r="X54" s="35"/>
      <c r="Y54" s="34" t="s">
        <v>622</v>
      </c>
      <c r="Z54" s="34" t="s">
        <v>621</v>
      </c>
      <c r="AA54" s="35"/>
      <c r="AB54" s="35"/>
      <c r="AC54" s="35"/>
      <c r="AD54" s="35"/>
      <c r="AE54" s="35"/>
      <c r="AF54" s="35"/>
      <c r="AG54" s="35"/>
      <c r="AH54" s="35"/>
    </row>
    <row r="55" spans="1:34" s="31" customFormat="1" ht="24" customHeight="1" x14ac:dyDescent="0.25">
      <c r="A55" s="26">
        <v>22</v>
      </c>
      <c r="B55" s="36" t="s">
        <v>452</v>
      </c>
      <c r="C55" s="9"/>
      <c r="D55" s="26" t="s">
        <v>104</v>
      </c>
      <c r="E55" s="43" t="s">
        <v>453</v>
      </c>
      <c r="F55" s="165"/>
      <c r="G55" s="26">
        <v>2018</v>
      </c>
      <c r="H55" s="28">
        <v>43320</v>
      </c>
      <c r="I55" s="28" t="s">
        <v>23</v>
      </c>
      <c r="J55" s="29">
        <v>7450000</v>
      </c>
      <c r="K55" s="29" t="s">
        <v>24</v>
      </c>
      <c r="L55" s="24" t="s">
        <v>34</v>
      </c>
      <c r="M55" s="29"/>
      <c r="N55" s="26" t="s">
        <v>437</v>
      </c>
      <c r="O55" s="35" t="s">
        <v>177</v>
      </c>
      <c r="P55" s="35" t="s">
        <v>27</v>
      </c>
      <c r="Q55" s="35"/>
      <c r="R55" s="35"/>
      <c r="S55" s="30" t="s">
        <v>454</v>
      </c>
      <c r="T55" s="157" t="s">
        <v>115</v>
      </c>
      <c r="U55" s="140"/>
      <c r="V55" s="146" t="s">
        <v>632</v>
      </c>
      <c r="W55" s="34" t="s">
        <v>617</v>
      </c>
      <c r="X55" s="35"/>
      <c r="Y55" s="34" t="s">
        <v>622</v>
      </c>
      <c r="Z55" s="34" t="s">
        <v>621</v>
      </c>
      <c r="AA55" s="35"/>
      <c r="AB55" s="35"/>
      <c r="AC55" s="35"/>
      <c r="AD55" s="35"/>
      <c r="AE55" s="35"/>
      <c r="AF55" s="35"/>
      <c r="AG55" s="35"/>
      <c r="AH55" s="35"/>
    </row>
    <row r="56" spans="1:34" s="31" customFormat="1" ht="24" customHeight="1" x14ac:dyDescent="0.25">
      <c r="A56" s="26">
        <v>23</v>
      </c>
      <c r="B56" s="36" t="s">
        <v>649</v>
      </c>
      <c r="C56" s="24"/>
      <c r="D56" s="26" t="s">
        <v>104</v>
      </c>
      <c r="E56" s="43" t="s">
        <v>650</v>
      </c>
      <c r="F56" s="165"/>
      <c r="G56" s="26">
        <v>2025</v>
      </c>
      <c r="H56" s="28">
        <v>45909</v>
      </c>
      <c r="I56" s="28" t="s">
        <v>23</v>
      </c>
      <c r="J56" s="29">
        <v>15768000</v>
      </c>
      <c r="K56" s="29" t="s">
        <v>24</v>
      </c>
      <c r="L56" s="24"/>
      <c r="M56" s="29"/>
      <c r="N56" s="26" t="s">
        <v>437</v>
      </c>
      <c r="O56" s="35" t="s">
        <v>648</v>
      </c>
      <c r="P56" s="35" t="s">
        <v>27</v>
      </c>
      <c r="Q56" s="35"/>
      <c r="R56" s="35"/>
      <c r="S56" s="30"/>
      <c r="T56" s="157" t="s">
        <v>692</v>
      </c>
      <c r="U56" s="140"/>
      <c r="V56" s="146" t="s">
        <v>624</v>
      </c>
      <c r="W56" s="34" t="s">
        <v>635</v>
      </c>
      <c r="X56" s="35"/>
      <c r="Y56" s="34" t="s">
        <v>622</v>
      </c>
      <c r="Z56" s="34" t="s">
        <v>621</v>
      </c>
      <c r="AA56" s="35"/>
      <c r="AB56" s="35"/>
      <c r="AC56" s="35"/>
      <c r="AD56" s="35"/>
      <c r="AE56" s="35"/>
      <c r="AF56" s="35"/>
      <c r="AG56" s="35"/>
      <c r="AH56" s="35"/>
    </row>
    <row r="57" spans="1:34" s="31" customFormat="1" ht="24" customHeight="1" x14ac:dyDescent="0.25">
      <c r="A57" s="26">
        <v>24</v>
      </c>
      <c r="B57" s="36" t="s">
        <v>135</v>
      </c>
      <c r="C57" s="9"/>
      <c r="D57" s="26" t="s">
        <v>104</v>
      </c>
      <c r="E57" s="42" t="s">
        <v>136</v>
      </c>
      <c r="F57" s="156"/>
      <c r="G57" s="26">
        <v>2024</v>
      </c>
      <c r="H57" s="28">
        <v>45460</v>
      </c>
      <c r="I57" s="28" t="s">
        <v>23</v>
      </c>
      <c r="J57" s="29">
        <v>11599000</v>
      </c>
      <c r="K57" s="29" t="s">
        <v>24</v>
      </c>
      <c r="L57" s="24"/>
      <c r="M57" s="29"/>
      <c r="N57" s="26" t="s">
        <v>437</v>
      </c>
      <c r="O57" s="35" t="s">
        <v>137</v>
      </c>
      <c r="P57" s="35" t="s">
        <v>27</v>
      </c>
      <c r="Q57" s="35"/>
      <c r="R57" s="35"/>
      <c r="S57" s="30"/>
      <c r="T57" s="157" t="s">
        <v>97</v>
      </c>
      <c r="U57" s="142"/>
      <c r="V57" s="146" t="s">
        <v>624</v>
      </c>
      <c r="W57" s="34" t="s">
        <v>635</v>
      </c>
      <c r="X57" s="35"/>
      <c r="Y57" s="34" t="s">
        <v>622</v>
      </c>
      <c r="Z57" s="34" t="s">
        <v>621</v>
      </c>
      <c r="AA57" s="35"/>
      <c r="AB57" s="35"/>
      <c r="AC57" s="35"/>
      <c r="AD57" s="35"/>
      <c r="AE57" s="35"/>
      <c r="AF57" s="35"/>
      <c r="AG57" s="35"/>
      <c r="AH57" s="35"/>
    </row>
    <row r="58" spans="1:34" s="31" customFormat="1" ht="24" customHeight="1" x14ac:dyDescent="0.25">
      <c r="A58" s="26">
        <v>25</v>
      </c>
      <c r="B58" s="36" t="s">
        <v>138</v>
      </c>
      <c r="C58" s="9"/>
      <c r="D58" s="26" t="s">
        <v>104</v>
      </c>
      <c r="E58" s="43" t="s">
        <v>139</v>
      </c>
      <c r="F58" s="165"/>
      <c r="G58" s="26">
        <v>2015</v>
      </c>
      <c r="H58" s="28">
        <v>42180</v>
      </c>
      <c r="I58" s="28" t="s">
        <v>117</v>
      </c>
      <c r="J58" s="29">
        <f>5790000+2049000</f>
        <v>7839000</v>
      </c>
      <c r="K58" s="29" t="s">
        <v>24</v>
      </c>
      <c r="L58" s="24"/>
      <c r="M58" s="29"/>
      <c r="N58" s="26" t="s">
        <v>437</v>
      </c>
      <c r="O58" s="35" t="s">
        <v>140</v>
      </c>
      <c r="P58" s="35" t="s">
        <v>27</v>
      </c>
      <c r="Q58" s="35"/>
      <c r="R58" s="35"/>
      <c r="S58" s="30"/>
      <c r="T58" s="157" t="s">
        <v>55</v>
      </c>
      <c r="U58" s="142"/>
      <c r="V58" s="146" t="s">
        <v>627</v>
      </c>
      <c r="W58" s="146" t="s">
        <v>619</v>
      </c>
      <c r="X58" s="35"/>
      <c r="Y58" s="34" t="s">
        <v>622</v>
      </c>
      <c r="Z58" s="34" t="s">
        <v>621</v>
      </c>
      <c r="AA58" s="35"/>
      <c r="AB58" s="35"/>
      <c r="AC58" s="35"/>
      <c r="AD58" s="35"/>
      <c r="AE58" s="35"/>
      <c r="AF58" s="35"/>
      <c r="AG58" s="35"/>
      <c r="AH58" s="35"/>
    </row>
    <row r="59" spans="1:34" s="31" customFormat="1" ht="24" customHeight="1" x14ac:dyDescent="0.25">
      <c r="A59" s="26">
        <v>26</v>
      </c>
      <c r="B59" s="36" t="s">
        <v>449</v>
      </c>
      <c r="C59" s="9"/>
      <c r="D59" s="26" t="s">
        <v>104</v>
      </c>
      <c r="E59" s="42" t="s">
        <v>450</v>
      </c>
      <c r="F59" s="156"/>
      <c r="G59" s="26">
        <v>2024</v>
      </c>
      <c r="H59" s="28">
        <v>45498</v>
      </c>
      <c r="I59" s="28" t="s">
        <v>23</v>
      </c>
      <c r="J59" s="29">
        <v>12499000</v>
      </c>
      <c r="K59" s="29" t="s">
        <v>24</v>
      </c>
      <c r="L59" s="24"/>
      <c r="M59" s="29"/>
      <c r="N59" s="26" t="s">
        <v>437</v>
      </c>
      <c r="O59" s="35" t="s">
        <v>54</v>
      </c>
      <c r="P59" s="35" t="s">
        <v>27</v>
      </c>
      <c r="Q59" s="35"/>
      <c r="R59" s="35"/>
      <c r="S59" s="30"/>
      <c r="T59" s="157" t="s">
        <v>97</v>
      </c>
      <c r="U59" s="142"/>
      <c r="V59" s="146" t="s">
        <v>624</v>
      </c>
      <c r="W59" s="153" t="s">
        <v>640</v>
      </c>
      <c r="X59" s="35"/>
      <c r="Y59" s="34" t="s">
        <v>622</v>
      </c>
      <c r="Z59" s="34" t="s">
        <v>621</v>
      </c>
      <c r="AA59" s="35"/>
      <c r="AB59" s="35"/>
      <c r="AC59" s="35"/>
      <c r="AD59" s="35"/>
      <c r="AE59" s="35"/>
      <c r="AF59" s="35"/>
      <c r="AG59" s="35"/>
      <c r="AH59" s="35"/>
    </row>
    <row r="60" spans="1:34" s="31" customFormat="1" ht="24" customHeight="1" x14ac:dyDescent="0.25">
      <c r="A60" s="26">
        <v>27</v>
      </c>
      <c r="B60" s="36" t="s">
        <v>492</v>
      </c>
      <c r="C60" s="24"/>
      <c r="D60" s="26" t="s">
        <v>104</v>
      </c>
      <c r="E60" s="43" t="s">
        <v>493</v>
      </c>
      <c r="F60" s="165"/>
      <c r="G60" s="26">
        <v>2021</v>
      </c>
      <c r="H60" s="28">
        <v>44363</v>
      </c>
      <c r="I60" s="28" t="s">
        <v>23</v>
      </c>
      <c r="J60" s="29">
        <v>19277000</v>
      </c>
      <c r="K60" s="29" t="s">
        <v>24</v>
      </c>
      <c r="L60" s="24"/>
      <c r="M60" s="29"/>
      <c r="N60" s="26" t="s">
        <v>472</v>
      </c>
      <c r="O60" s="35" t="s">
        <v>473</v>
      </c>
      <c r="P60" s="35" t="s">
        <v>27</v>
      </c>
      <c r="Q60" s="30"/>
      <c r="R60" s="30"/>
      <c r="S60" s="33" t="s">
        <v>474</v>
      </c>
      <c r="T60" s="55" t="s">
        <v>49</v>
      </c>
      <c r="U60" s="142"/>
      <c r="V60" s="146" t="s">
        <v>626</v>
      </c>
      <c r="W60" s="34" t="s">
        <v>617</v>
      </c>
      <c r="X60" s="35"/>
      <c r="Y60" s="34" t="s">
        <v>622</v>
      </c>
      <c r="Z60" s="34" t="s">
        <v>621</v>
      </c>
      <c r="AA60" s="35"/>
      <c r="AB60" s="35"/>
      <c r="AC60" s="35"/>
      <c r="AD60" s="35"/>
      <c r="AE60" s="35"/>
      <c r="AF60" s="35"/>
      <c r="AG60" s="35"/>
      <c r="AH60" s="35"/>
    </row>
    <row r="61" spans="1:34" s="31" customFormat="1" ht="24" customHeight="1" x14ac:dyDescent="0.25">
      <c r="A61" s="26">
        <v>28</v>
      </c>
      <c r="B61" s="36" t="s">
        <v>475</v>
      </c>
      <c r="C61" s="9"/>
      <c r="D61" s="26" t="s">
        <v>104</v>
      </c>
      <c r="E61" s="43" t="s">
        <v>476</v>
      </c>
      <c r="F61" s="165"/>
      <c r="G61" s="26">
        <v>2018</v>
      </c>
      <c r="H61" s="28">
        <v>43780</v>
      </c>
      <c r="I61" s="28" t="s">
        <v>23</v>
      </c>
      <c r="J61" s="29">
        <f>7690000+2795000</f>
        <v>10485000</v>
      </c>
      <c r="K61" s="29" t="s">
        <v>24</v>
      </c>
      <c r="L61" s="24"/>
      <c r="M61" s="29"/>
      <c r="N61" s="26" t="s">
        <v>472</v>
      </c>
      <c r="O61" s="35" t="s">
        <v>477</v>
      </c>
      <c r="P61" s="35" t="s">
        <v>27</v>
      </c>
      <c r="Q61" s="30"/>
      <c r="R61" s="30"/>
      <c r="S61" s="30" t="s">
        <v>478</v>
      </c>
      <c r="T61" s="157" t="s">
        <v>115</v>
      </c>
      <c r="U61" s="142"/>
      <c r="V61" s="146" t="s">
        <v>627</v>
      </c>
      <c r="W61" s="146" t="s">
        <v>619</v>
      </c>
      <c r="X61" s="35"/>
      <c r="Y61" s="34" t="s">
        <v>622</v>
      </c>
      <c r="Z61" s="34" t="s">
        <v>621</v>
      </c>
      <c r="AA61" s="35"/>
      <c r="AB61" s="35"/>
      <c r="AC61" s="35"/>
      <c r="AD61" s="35"/>
      <c r="AE61" s="35"/>
      <c r="AF61" s="35"/>
      <c r="AG61" s="35"/>
      <c r="AH61" s="35"/>
    </row>
    <row r="62" spans="1:34" s="31" customFormat="1" ht="24" customHeight="1" x14ac:dyDescent="0.25">
      <c r="A62" s="26">
        <v>29</v>
      </c>
      <c r="B62" s="36" t="s">
        <v>114</v>
      </c>
      <c r="C62" s="9"/>
      <c r="D62" s="26" t="s">
        <v>104</v>
      </c>
      <c r="E62" s="43" t="s">
        <v>147</v>
      </c>
      <c r="F62" s="165"/>
      <c r="G62" s="26">
        <v>2018</v>
      </c>
      <c r="H62" s="28">
        <v>43384</v>
      </c>
      <c r="I62" s="28" t="s">
        <v>23</v>
      </c>
      <c r="J62" s="29">
        <v>16470000</v>
      </c>
      <c r="K62" s="29" t="s">
        <v>24</v>
      </c>
      <c r="L62" s="24" t="s">
        <v>151</v>
      </c>
      <c r="M62" s="29">
        <v>1849000</v>
      </c>
      <c r="N62" s="26" t="s">
        <v>433</v>
      </c>
      <c r="O62" s="35" t="s">
        <v>148</v>
      </c>
      <c r="P62" s="35" t="s">
        <v>27</v>
      </c>
      <c r="Q62" s="35"/>
      <c r="R62" s="35"/>
      <c r="S62" s="30" t="s">
        <v>149</v>
      </c>
      <c r="T62" s="157"/>
      <c r="U62" s="140"/>
      <c r="V62" s="146" t="s">
        <v>627</v>
      </c>
      <c r="W62" s="34" t="s">
        <v>617</v>
      </c>
      <c r="X62" s="35"/>
      <c r="Y62" s="34" t="s">
        <v>622</v>
      </c>
      <c r="Z62" s="34" t="s">
        <v>621</v>
      </c>
      <c r="AA62" s="35"/>
      <c r="AB62" s="35"/>
      <c r="AC62" s="35"/>
      <c r="AD62" s="35"/>
      <c r="AE62" s="35"/>
      <c r="AF62" s="35"/>
      <c r="AG62" s="35"/>
      <c r="AH62" s="35"/>
    </row>
    <row r="63" spans="1:34" s="31" customFormat="1" ht="24" customHeight="1" x14ac:dyDescent="0.25">
      <c r="A63" s="26">
        <v>30</v>
      </c>
      <c r="B63" s="36" t="s">
        <v>141</v>
      </c>
      <c r="C63" s="9"/>
      <c r="D63" s="26" t="s">
        <v>104</v>
      </c>
      <c r="E63" s="43" t="s">
        <v>142</v>
      </c>
      <c r="F63" s="165"/>
      <c r="G63" s="26">
        <v>2018</v>
      </c>
      <c r="H63" s="28">
        <v>43664</v>
      </c>
      <c r="I63" s="28" t="s">
        <v>59</v>
      </c>
      <c r="J63" s="29">
        <v>11780000</v>
      </c>
      <c r="K63" s="29" t="s">
        <v>24</v>
      </c>
      <c r="L63" s="24"/>
      <c r="M63" s="29"/>
      <c r="N63" s="26" t="s">
        <v>433</v>
      </c>
      <c r="O63" s="35" t="s">
        <v>158</v>
      </c>
      <c r="P63" s="35" t="s">
        <v>27</v>
      </c>
      <c r="Q63" s="35"/>
      <c r="R63" s="35"/>
      <c r="S63" s="30" t="s">
        <v>455</v>
      </c>
      <c r="T63" s="157" t="s">
        <v>115</v>
      </c>
      <c r="U63" s="140"/>
      <c r="V63" s="146" t="s">
        <v>627</v>
      </c>
      <c r="W63" s="34" t="s">
        <v>617</v>
      </c>
      <c r="X63" s="35"/>
      <c r="Y63" s="34" t="s">
        <v>622</v>
      </c>
      <c r="Z63" s="34" t="s">
        <v>621</v>
      </c>
      <c r="AA63" s="35"/>
      <c r="AB63" s="35"/>
      <c r="AC63" s="35"/>
      <c r="AD63" s="35"/>
      <c r="AE63" s="35"/>
      <c r="AF63" s="35"/>
      <c r="AG63" s="35"/>
      <c r="AH63" s="35"/>
    </row>
    <row r="64" spans="1:34" s="31" customFormat="1" ht="24" customHeight="1" x14ac:dyDescent="0.25">
      <c r="A64" s="26">
        <v>31</v>
      </c>
      <c r="B64" s="36" t="s">
        <v>143</v>
      </c>
      <c r="C64" s="9"/>
      <c r="D64" s="26" t="s">
        <v>104</v>
      </c>
      <c r="E64" s="43" t="s">
        <v>144</v>
      </c>
      <c r="F64" s="165"/>
      <c r="G64" s="26">
        <v>2018</v>
      </c>
      <c r="H64" s="28">
        <v>43664</v>
      </c>
      <c r="I64" s="28" t="s">
        <v>59</v>
      </c>
      <c r="J64" s="29">
        <v>7790000</v>
      </c>
      <c r="K64" s="29" t="s">
        <v>24</v>
      </c>
      <c r="L64" s="24" t="s">
        <v>145</v>
      </c>
      <c r="M64" s="29">
        <f>1849000+689000</f>
        <v>2538000</v>
      </c>
      <c r="N64" s="26" t="s">
        <v>433</v>
      </c>
      <c r="O64" s="35" t="s">
        <v>146</v>
      </c>
      <c r="P64" s="35" t="s">
        <v>27</v>
      </c>
      <c r="Q64" s="35"/>
      <c r="R64" s="35"/>
      <c r="S64" s="30"/>
      <c r="T64" s="157" t="s">
        <v>115</v>
      </c>
      <c r="U64" s="140"/>
      <c r="V64" s="146" t="s">
        <v>627</v>
      </c>
      <c r="W64" s="34" t="s">
        <v>617</v>
      </c>
      <c r="X64" s="35"/>
      <c r="Y64" s="34" t="s">
        <v>622</v>
      </c>
      <c r="Z64" s="34" t="s">
        <v>621</v>
      </c>
      <c r="AA64" s="35"/>
      <c r="AB64" s="35"/>
      <c r="AC64" s="35"/>
      <c r="AD64" s="35"/>
      <c r="AE64" s="35"/>
      <c r="AF64" s="35"/>
      <c r="AG64" s="35"/>
      <c r="AH64" s="35"/>
    </row>
    <row r="65" spans="1:34" s="31" customFormat="1" ht="24" customHeight="1" x14ac:dyDescent="0.25">
      <c r="A65" s="26">
        <v>32</v>
      </c>
      <c r="B65" s="36" t="s">
        <v>114</v>
      </c>
      <c r="C65" s="9"/>
      <c r="D65" s="26" t="s">
        <v>104</v>
      </c>
      <c r="E65" s="43" t="s">
        <v>457</v>
      </c>
      <c r="F65" s="165"/>
      <c r="G65" s="26">
        <v>2018</v>
      </c>
      <c r="H65" s="28">
        <v>43384</v>
      </c>
      <c r="I65" s="28" t="s">
        <v>23</v>
      </c>
      <c r="J65" s="29">
        <v>16470000</v>
      </c>
      <c r="K65" s="29" t="s">
        <v>24</v>
      </c>
      <c r="L65" s="24" t="s">
        <v>151</v>
      </c>
      <c r="M65" s="29">
        <v>1849000</v>
      </c>
      <c r="N65" s="26" t="s">
        <v>433</v>
      </c>
      <c r="O65" s="35" t="s">
        <v>148</v>
      </c>
      <c r="P65" s="35" t="s">
        <v>27</v>
      </c>
      <c r="Q65" s="35"/>
      <c r="R65" s="35"/>
      <c r="S65" s="30" t="s">
        <v>149</v>
      </c>
      <c r="T65" s="157"/>
      <c r="U65" s="140"/>
      <c r="V65" s="146" t="s">
        <v>627</v>
      </c>
      <c r="W65" s="34" t="s">
        <v>617</v>
      </c>
      <c r="X65" s="35"/>
      <c r="Y65" s="34" t="s">
        <v>622</v>
      </c>
      <c r="Z65" s="34" t="s">
        <v>621</v>
      </c>
      <c r="AA65" s="34" t="s">
        <v>628</v>
      </c>
      <c r="AB65" s="35"/>
      <c r="AC65" s="35"/>
      <c r="AD65" s="35"/>
      <c r="AE65" s="35"/>
      <c r="AF65" s="35"/>
      <c r="AG65" s="35"/>
      <c r="AH65" s="35"/>
    </row>
    <row r="66" spans="1:34" s="31" customFormat="1" ht="24" customHeight="1" x14ac:dyDescent="0.25">
      <c r="A66" s="26">
        <v>33</v>
      </c>
      <c r="B66" s="36" t="s">
        <v>141</v>
      </c>
      <c r="C66" s="9"/>
      <c r="D66" s="26" t="s">
        <v>104</v>
      </c>
      <c r="E66" s="43" t="s">
        <v>150</v>
      </c>
      <c r="F66" s="165"/>
      <c r="G66" s="26">
        <v>2018</v>
      </c>
      <c r="H66" s="28">
        <v>43664</v>
      </c>
      <c r="I66" s="28" t="s">
        <v>59</v>
      </c>
      <c r="J66" s="29">
        <v>11780000</v>
      </c>
      <c r="K66" s="29" t="s">
        <v>24</v>
      </c>
      <c r="L66" s="24" t="s">
        <v>151</v>
      </c>
      <c r="M66" s="29">
        <v>1849000</v>
      </c>
      <c r="N66" s="26" t="s">
        <v>433</v>
      </c>
      <c r="O66" s="35" t="s">
        <v>152</v>
      </c>
      <c r="P66" s="35" t="s">
        <v>27</v>
      </c>
      <c r="Q66" s="35"/>
      <c r="R66" s="35"/>
      <c r="S66" s="30" t="s">
        <v>153</v>
      </c>
      <c r="T66" s="157" t="s">
        <v>115</v>
      </c>
      <c r="U66" s="140"/>
      <c r="V66" s="146" t="s">
        <v>627</v>
      </c>
      <c r="W66" s="34" t="s">
        <v>617</v>
      </c>
      <c r="X66" s="38" t="s">
        <v>641</v>
      </c>
      <c r="Y66" s="34" t="s">
        <v>622</v>
      </c>
      <c r="Z66" s="34" t="s">
        <v>621</v>
      </c>
      <c r="AA66" s="34" t="s">
        <v>628</v>
      </c>
      <c r="AB66" s="35"/>
      <c r="AC66" s="35"/>
      <c r="AD66" s="35"/>
      <c r="AE66" s="35"/>
      <c r="AF66" s="35"/>
      <c r="AG66" s="35"/>
      <c r="AH66" s="35"/>
    </row>
    <row r="67" spans="1:34" s="31" customFormat="1" ht="24" customHeight="1" x14ac:dyDescent="0.25">
      <c r="A67" s="26">
        <v>34</v>
      </c>
      <c r="B67" s="36" t="s">
        <v>156</v>
      </c>
      <c r="C67" s="9"/>
      <c r="D67" s="26" t="s">
        <v>104</v>
      </c>
      <c r="E67" s="43" t="s">
        <v>157</v>
      </c>
      <c r="F67" s="165"/>
      <c r="G67" s="26">
        <v>2020</v>
      </c>
      <c r="H67" s="28">
        <v>43967</v>
      </c>
      <c r="I67" s="28" t="s">
        <v>105</v>
      </c>
      <c r="J67" s="29">
        <v>9699000</v>
      </c>
      <c r="K67" s="29" t="s">
        <v>24</v>
      </c>
      <c r="L67" s="24"/>
      <c r="M67" s="29"/>
      <c r="N67" s="26" t="s">
        <v>433</v>
      </c>
      <c r="O67" s="35" t="s">
        <v>491</v>
      </c>
      <c r="P67" s="35" t="s">
        <v>27</v>
      </c>
      <c r="Q67" s="35"/>
      <c r="R67" s="35"/>
      <c r="S67" s="30"/>
      <c r="T67" s="157" t="s">
        <v>115</v>
      </c>
      <c r="U67" s="140"/>
      <c r="V67" s="146" t="s">
        <v>626</v>
      </c>
      <c r="W67" s="34" t="s">
        <v>617</v>
      </c>
      <c r="X67" s="38" t="s">
        <v>641</v>
      </c>
      <c r="Y67" s="34" t="s">
        <v>622</v>
      </c>
      <c r="Z67" s="34" t="s">
        <v>621</v>
      </c>
      <c r="AA67" s="35"/>
      <c r="AB67" s="35"/>
      <c r="AC67" s="35"/>
      <c r="AD67" s="35"/>
      <c r="AE67" s="35"/>
      <c r="AF67" s="35"/>
      <c r="AG67" s="35"/>
      <c r="AH67" s="35"/>
    </row>
    <row r="68" spans="1:34" s="31" customFormat="1" ht="24" customHeight="1" x14ac:dyDescent="0.25">
      <c r="A68" s="26">
        <v>35</v>
      </c>
      <c r="B68" s="36" t="s">
        <v>598</v>
      </c>
      <c r="C68" s="24"/>
      <c r="D68" s="26" t="s">
        <v>104</v>
      </c>
      <c r="E68" s="43" t="s">
        <v>599</v>
      </c>
      <c r="F68" s="165"/>
      <c r="G68" s="26">
        <v>2025</v>
      </c>
      <c r="H68" s="28">
        <v>45880</v>
      </c>
      <c r="I68" s="28" t="s">
        <v>23</v>
      </c>
      <c r="J68" s="29">
        <v>12399000</v>
      </c>
      <c r="K68" s="29" t="s">
        <v>24</v>
      </c>
      <c r="L68" s="24"/>
      <c r="M68" s="29"/>
      <c r="N68" s="26" t="s">
        <v>433</v>
      </c>
      <c r="O68" s="35" t="s">
        <v>458</v>
      </c>
      <c r="P68" s="35" t="s">
        <v>27</v>
      </c>
      <c r="Q68" s="35">
        <v>2025</v>
      </c>
      <c r="R68" s="35" t="s">
        <v>487</v>
      </c>
      <c r="S68" s="30" t="s">
        <v>459</v>
      </c>
      <c r="T68" s="157" t="s">
        <v>692</v>
      </c>
      <c r="U68" s="140" t="s">
        <v>440</v>
      </c>
      <c r="V68" s="146" t="s">
        <v>624</v>
      </c>
      <c r="W68" s="34" t="s">
        <v>617</v>
      </c>
      <c r="X68" s="35"/>
      <c r="Y68" s="34" t="s">
        <v>622</v>
      </c>
      <c r="Z68" s="34" t="s">
        <v>621</v>
      </c>
      <c r="AA68" s="35"/>
      <c r="AB68" s="35"/>
      <c r="AC68" s="35"/>
      <c r="AD68" s="35"/>
      <c r="AE68" s="35"/>
      <c r="AF68" s="35"/>
      <c r="AG68" s="35"/>
      <c r="AH68" s="35"/>
    </row>
    <row r="69" spans="1:34" s="31" customFormat="1" ht="24" customHeight="1" x14ac:dyDescent="0.25">
      <c r="A69" s="26">
        <v>36</v>
      </c>
      <c r="B69" s="36" t="s">
        <v>674</v>
      </c>
      <c r="C69" s="9"/>
      <c r="D69" s="26" t="s">
        <v>104</v>
      </c>
      <c r="E69" s="43" t="s">
        <v>675</v>
      </c>
      <c r="F69" s="165"/>
      <c r="G69" s="26">
        <v>2026</v>
      </c>
      <c r="H69" s="28">
        <v>46147</v>
      </c>
      <c r="I69" s="28" t="s">
        <v>117</v>
      </c>
      <c r="J69" s="29">
        <v>50232000</v>
      </c>
      <c r="K69" s="29" t="s">
        <v>24</v>
      </c>
      <c r="L69" s="24"/>
      <c r="M69" s="29"/>
      <c r="N69" s="26" t="s">
        <v>433</v>
      </c>
      <c r="O69" s="35" t="s">
        <v>160</v>
      </c>
      <c r="P69" s="35" t="s">
        <v>27</v>
      </c>
      <c r="Q69" s="35">
        <v>2026</v>
      </c>
      <c r="R69" s="35" t="s">
        <v>487</v>
      </c>
      <c r="S69" s="30"/>
      <c r="T69" s="157" t="s">
        <v>115</v>
      </c>
      <c r="U69" s="140" t="s">
        <v>462</v>
      </c>
      <c r="V69" s="146" t="s">
        <v>633</v>
      </c>
      <c r="W69" s="34" t="s">
        <v>635</v>
      </c>
      <c r="X69" s="35"/>
      <c r="Y69" s="34" t="s">
        <v>622</v>
      </c>
      <c r="Z69" s="34" t="s">
        <v>621</v>
      </c>
      <c r="AA69" s="34" t="s">
        <v>628</v>
      </c>
      <c r="AB69" s="35"/>
      <c r="AC69" s="35"/>
      <c r="AD69" s="35"/>
      <c r="AE69" s="35"/>
      <c r="AF69" s="35"/>
      <c r="AG69" s="35"/>
      <c r="AH69" s="35"/>
    </row>
    <row r="70" spans="1:34" s="31" customFormat="1" ht="24" customHeight="1" x14ac:dyDescent="0.25">
      <c r="A70" s="26">
        <v>37</v>
      </c>
      <c r="B70" s="36" t="s">
        <v>598</v>
      </c>
      <c r="C70" s="24"/>
      <c r="D70" s="26" t="s">
        <v>104</v>
      </c>
      <c r="E70" s="43" t="s">
        <v>599</v>
      </c>
      <c r="F70" s="165"/>
      <c r="G70" s="26">
        <v>2025</v>
      </c>
      <c r="H70" s="28">
        <v>45880</v>
      </c>
      <c r="I70" s="28" t="s">
        <v>23</v>
      </c>
      <c r="J70" s="29">
        <v>12399000</v>
      </c>
      <c r="K70" s="29" t="s">
        <v>24</v>
      </c>
      <c r="L70" s="24"/>
      <c r="M70" s="29"/>
      <c r="N70" s="26" t="s">
        <v>433</v>
      </c>
      <c r="O70" s="35" t="s">
        <v>161</v>
      </c>
      <c r="P70" s="35" t="s">
        <v>27</v>
      </c>
      <c r="Q70" s="35">
        <v>2025</v>
      </c>
      <c r="R70" s="35" t="s">
        <v>487</v>
      </c>
      <c r="S70" s="30"/>
      <c r="T70" s="157" t="s">
        <v>692</v>
      </c>
      <c r="U70" s="140" t="s">
        <v>440</v>
      </c>
      <c r="V70" s="146" t="s">
        <v>624</v>
      </c>
      <c r="W70" s="34" t="s">
        <v>617</v>
      </c>
      <c r="X70" s="35"/>
      <c r="Y70" s="34" t="s">
        <v>622</v>
      </c>
      <c r="Z70" s="34" t="s">
        <v>621</v>
      </c>
      <c r="AA70" s="35"/>
      <c r="AB70" s="35"/>
      <c r="AC70" s="35"/>
      <c r="AD70" s="35"/>
      <c r="AE70" s="35"/>
      <c r="AF70" s="35"/>
      <c r="AG70" s="35"/>
      <c r="AH70" s="35"/>
    </row>
    <row r="71" spans="1:34" s="31" customFormat="1" ht="24" customHeight="1" x14ac:dyDescent="0.25">
      <c r="A71" s="26">
        <v>38</v>
      </c>
      <c r="B71" s="36" t="s">
        <v>141</v>
      </c>
      <c r="C71" s="9"/>
      <c r="D71" s="26" t="s">
        <v>104</v>
      </c>
      <c r="E71" s="43" t="s">
        <v>456</v>
      </c>
      <c r="F71" s="165"/>
      <c r="G71" s="26">
        <v>2018</v>
      </c>
      <c r="H71" s="28">
        <v>43664</v>
      </c>
      <c r="I71" s="28" t="s">
        <v>59</v>
      </c>
      <c r="J71" s="29">
        <v>11780000</v>
      </c>
      <c r="K71" s="29" t="s">
        <v>24</v>
      </c>
      <c r="L71" s="24" t="s">
        <v>34</v>
      </c>
      <c r="M71" s="29"/>
      <c r="N71" s="26" t="s">
        <v>433</v>
      </c>
      <c r="O71" s="35" t="s">
        <v>162</v>
      </c>
      <c r="P71" s="35" t="s">
        <v>27</v>
      </c>
      <c r="Q71" s="35">
        <v>2026</v>
      </c>
      <c r="R71" s="35"/>
      <c r="S71" s="30"/>
      <c r="T71" s="157" t="s">
        <v>115</v>
      </c>
      <c r="U71" s="140" t="s">
        <v>462</v>
      </c>
      <c r="V71" s="146" t="s">
        <v>627</v>
      </c>
      <c r="W71" s="34" t="s">
        <v>617</v>
      </c>
      <c r="X71" s="35"/>
      <c r="Y71" s="34" t="s">
        <v>622</v>
      </c>
      <c r="Z71" s="34" t="s">
        <v>621</v>
      </c>
      <c r="AA71" s="34" t="s">
        <v>628</v>
      </c>
      <c r="AB71" s="35"/>
      <c r="AC71" s="35"/>
      <c r="AD71" s="35"/>
      <c r="AE71" s="35"/>
      <c r="AF71" s="35"/>
      <c r="AG71" s="35"/>
      <c r="AH71" s="35"/>
    </row>
    <row r="72" spans="1:34" s="31" customFormat="1" ht="24" customHeight="1" x14ac:dyDescent="0.25">
      <c r="A72" s="26">
        <v>39</v>
      </c>
      <c r="B72" s="36" t="s">
        <v>154</v>
      </c>
      <c r="C72" s="24"/>
      <c r="D72" s="26" t="s">
        <v>104</v>
      </c>
      <c r="E72" s="43" t="s">
        <v>155</v>
      </c>
      <c r="F72" s="165"/>
      <c r="G72" s="26">
        <v>2021</v>
      </c>
      <c r="H72" s="28">
        <v>44315</v>
      </c>
      <c r="I72" s="28" t="s">
        <v>23</v>
      </c>
      <c r="J72" s="29">
        <v>19738000</v>
      </c>
      <c r="K72" s="29" t="s">
        <v>24</v>
      </c>
      <c r="L72" s="24" t="s">
        <v>34</v>
      </c>
      <c r="M72" s="29"/>
      <c r="N72" s="26" t="s">
        <v>433</v>
      </c>
      <c r="O72" s="35" t="s">
        <v>494</v>
      </c>
      <c r="P72" s="35" t="s">
        <v>27</v>
      </c>
      <c r="Q72" s="35"/>
      <c r="R72" s="35"/>
      <c r="S72" s="30"/>
      <c r="T72" s="55" t="s">
        <v>49</v>
      </c>
      <c r="U72" s="140"/>
      <c r="V72" s="146" t="s">
        <v>626</v>
      </c>
      <c r="W72" s="34" t="s">
        <v>617</v>
      </c>
      <c r="X72" s="35"/>
      <c r="Y72" s="34" t="s">
        <v>622</v>
      </c>
      <c r="Z72" s="34" t="s">
        <v>621</v>
      </c>
      <c r="AA72" s="35"/>
      <c r="AB72" s="35"/>
      <c r="AC72" s="35"/>
      <c r="AD72" s="35"/>
      <c r="AE72" s="35"/>
      <c r="AF72" s="35"/>
      <c r="AG72" s="35"/>
      <c r="AH72" s="35"/>
    </row>
    <row r="73" spans="1:34" s="31" customFormat="1" ht="24" customHeight="1" x14ac:dyDescent="0.25">
      <c r="A73" s="26">
        <v>40</v>
      </c>
      <c r="B73" s="36" t="s">
        <v>676</v>
      </c>
      <c r="C73" s="24"/>
      <c r="D73" s="26" t="s">
        <v>104</v>
      </c>
      <c r="E73" s="43" t="s">
        <v>677</v>
      </c>
      <c r="F73" s="165"/>
      <c r="G73" s="26">
        <v>2026</v>
      </c>
      <c r="H73" s="28">
        <v>46147</v>
      </c>
      <c r="I73" s="28" t="s">
        <v>23</v>
      </c>
      <c r="J73" s="29">
        <v>18599000</v>
      </c>
      <c r="K73" s="29" t="s">
        <v>24</v>
      </c>
      <c r="L73" s="24"/>
      <c r="M73" s="29"/>
      <c r="N73" s="26" t="s">
        <v>433</v>
      </c>
      <c r="O73" s="35" t="s">
        <v>673</v>
      </c>
      <c r="P73" s="35" t="s">
        <v>27</v>
      </c>
      <c r="Q73" s="162"/>
      <c r="R73" s="35" t="s">
        <v>487</v>
      </c>
      <c r="S73" s="30"/>
      <c r="T73" s="160" t="s">
        <v>65</v>
      </c>
      <c r="U73" s="140"/>
      <c r="V73" s="146" t="s">
        <v>626</v>
      </c>
      <c r="W73" s="34" t="s">
        <v>617</v>
      </c>
      <c r="X73" s="35"/>
      <c r="Y73" s="34" t="s">
        <v>622</v>
      </c>
      <c r="Z73" s="34" t="s">
        <v>621</v>
      </c>
      <c r="AA73" s="34" t="s">
        <v>628</v>
      </c>
      <c r="AB73" s="35"/>
      <c r="AC73" s="35"/>
      <c r="AD73" s="35"/>
      <c r="AE73" s="35"/>
      <c r="AF73" s="35"/>
      <c r="AG73" s="35"/>
      <c r="AH73" s="35"/>
    </row>
    <row r="74" spans="1:34" s="31" customFormat="1" ht="24" x14ac:dyDescent="0.25">
      <c r="A74" s="26">
        <v>41</v>
      </c>
      <c r="B74" s="36" t="s">
        <v>197</v>
      </c>
      <c r="C74" s="9"/>
      <c r="D74" s="26" t="s">
        <v>104</v>
      </c>
      <c r="E74" s="43" t="s">
        <v>460</v>
      </c>
      <c r="F74" s="165"/>
      <c r="G74" s="26">
        <v>2017</v>
      </c>
      <c r="H74" s="28">
        <v>43153</v>
      </c>
      <c r="I74" s="28" t="s">
        <v>59</v>
      </c>
      <c r="J74" s="29">
        <f>6600000+2500000</f>
        <v>9100000</v>
      </c>
      <c r="K74" s="29" t="s">
        <v>24</v>
      </c>
      <c r="L74" s="24" t="s">
        <v>34</v>
      </c>
      <c r="M74" s="29"/>
      <c r="N74" s="26" t="s">
        <v>433</v>
      </c>
      <c r="O74" s="35" t="s">
        <v>198</v>
      </c>
      <c r="P74" s="35" t="s">
        <v>27</v>
      </c>
      <c r="Q74" s="35"/>
      <c r="R74" s="35"/>
      <c r="S74" s="30"/>
      <c r="T74" s="55" t="s">
        <v>115</v>
      </c>
      <c r="U74" s="140"/>
      <c r="V74" s="146" t="s">
        <v>627</v>
      </c>
      <c r="W74" s="34" t="s">
        <v>617</v>
      </c>
      <c r="X74" s="35"/>
      <c r="Y74" s="34" t="s">
        <v>622</v>
      </c>
      <c r="Z74" s="34" t="s">
        <v>621</v>
      </c>
      <c r="AA74" s="35"/>
      <c r="AB74" s="35"/>
      <c r="AC74" s="35"/>
      <c r="AD74" s="35"/>
      <c r="AE74" s="35"/>
      <c r="AF74" s="35"/>
      <c r="AG74" s="35"/>
      <c r="AH74" s="35"/>
    </row>
    <row r="75" spans="1:34" s="18" customFormat="1" ht="24" customHeight="1" x14ac:dyDescent="0.25">
      <c r="A75" s="10" t="s">
        <v>220</v>
      </c>
      <c r="B75" s="11" t="s">
        <v>221</v>
      </c>
      <c r="C75" s="12"/>
      <c r="D75" s="13"/>
      <c r="E75" s="14"/>
      <c r="F75" s="13"/>
      <c r="G75" s="13"/>
      <c r="H75" s="15"/>
      <c r="I75" s="15"/>
      <c r="J75" s="16"/>
      <c r="K75" s="16"/>
      <c r="L75" s="12"/>
      <c r="M75" s="16"/>
      <c r="N75" s="13"/>
      <c r="O75" s="39"/>
      <c r="P75" s="39"/>
      <c r="Q75" s="39"/>
      <c r="R75" s="39"/>
      <c r="S75" s="40"/>
      <c r="T75" s="158"/>
      <c r="U75" s="141"/>
      <c r="V75" s="40"/>
      <c r="W75" s="145"/>
      <c r="X75" s="39"/>
      <c r="Y75" s="39"/>
      <c r="Z75" s="39"/>
      <c r="AA75" s="39"/>
      <c r="AB75" s="39"/>
      <c r="AC75" s="39"/>
      <c r="AD75" s="39"/>
      <c r="AE75" s="39"/>
      <c r="AF75" s="39"/>
      <c r="AG75" s="39"/>
      <c r="AH75" s="39"/>
    </row>
    <row r="76" spans="1:34" s="18" customFormat="1" ht="24" customHeight="1" x14ac:dyDescent="0.25">
      <c r="A76" s="19">
        <v>1</v>
      </c>
      <c r="B76" s="20" t="s">
        <v>222</v>
      </c>
      <c r="C76" s="9"/>
      <c r="D76" s="19" t="s">
        <v>223</v>
      </c>
      <c r="E76" s="20" t="s">
        <v>222</v>
      </c>
      <c r="F76" s="19"/>
      <c r="G76" s="19">
        <v>2017</v>
      </c>
      <c r="H76" s="22">
        <v>43126</v>
      </c>
      <c r="I76" s="22" t="s">
        <v>224</v>
      </c>
      <c r="J76" s="23">
        <v>30049000</v>
      </c>
      <c r="K76" s="23" t="s">
        <v>24</v>
      </c>
      <c r="L76" s="9"/>
      <c r="M76" s="23"/>
      <c r="N76" s="19" t="s">
        <v>25</v>
      </c>
      <c r="O76" s="32" t="s">
        <v>26</v>
      </c>
      <c r="P76" s="32"/>
      <c r="Q76" s="32"/>
      <c r="R76" s="32"/>
      <c r="S76" s="33"/>
      <c r="T76" s="55" t="s">
        <v>225</v>
      </c>
      <c r="U76" s="139"/>
      <c r="V76" s="33"/>
      <c r="W76" s="147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</row>
    <row r="77" spans="1:34" s="18" customFormat="1" ht="24" customHeight="1" x14ac:dyDescent="0.25">
      <c r="A77" s="19">
        <v>2</v>
      </c>
      <c r="B77" s="20" t="s">
        <v>226</v>
      </c>
      <c r="C77" s="24"/>
      <c r="D77" s="19" t="s">
        <v>223</v>
      </c>
      <c r="E77" s="20" t="s">
        <v>226</v>
      </c>
      <c r="F77" s="19"/>
      <c r="G77" s="19">
        <v>2023</v>
      </c>
      <c r="H77" s="22">
        <v>45190</v>
      </c>
      <c r="I77" s="22" t="s">
        <v>224</v>
      </c>
      <c r="J77" s="23">
        <v>35470000</v>
      </c>
      <c r="K77" s="23" t="s">
        <v>24</v>
      </c>
      <c r="L77" s="9"/>
      <c r="M77" s="23"/>
      <c r="N77" s="19" t="s">
        <v>31</v>
      </c>
      <c r="O77" s="32" t="s">
        <v>32</v>
      </c>
      <c r="P77" s="32"/>
      <c r="Q77" s="32"/>
      <c r="R77" s="32"/>
      <c r="S77" s="33"/>
      <c r="T77" s="55" t="s">
        <v>227</v>
      </c>
      <c r="U77" s="139"/>
      <c r="V77" s="33"/>
      <c r="W77" s="147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</row>
    <row r="78" spans="1:34" s="18" customFormat="1" ht="24" customHeight="1" x14ac:dyDescent="0.25">
      <c r="A78" s="19">
        <v>3</v>
      </c>
      <c r="B78" s="20" t="s">
        <v>230</v>
      </c>
      <c r="C78" s="24"/>
      <c r="D78" s="19" t="s">
        <v>223</v>
      </c>
      <c r="E78" s="20" t="s">
        <v>228</v>
      </c>
      <c r="F78" s="19"/>
      <c r="G78" s="19">
        <v>2021</v>
      </c>
      <c r="H78" s="22">
        <v>44491</v>
      </c>
      <c r="I78" s="22" t="s">
        <v>224</v>
      </c>
      <c r="J78" s="23">
        <v>49579000</v>
      </c>
      <c r="K78" s="23" t="s">
        <v>24</v>
      </c>
      <c r="L78" s="9"/>
      <c r="M78" s="23"/>
      <c r="N78" s="19" t="s">
        <v>25</v>
      </c>
      <c r="O78" s="32" t="s">
        <v>26</v>
      </c>
      <c r="P78" s="32"/>
      <c r="Q78" s="32"/>
      <c r="R78" s="32"/>
      <c r="S78" s="33"/>
      <c r="T78" s="55" t="s">
        <v>231</v>
      </c>
      <c r="U78" s="139"/>
      <c r="V78" s="33"/>
      <c r="W78" s="147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</row>
    <row r="79" spans="1:34" s="18" customFormat="1" ht="24" customHeight="1" x14ac:dyDescent="0.25">
      <c r="A79" s="10" t="s">
        <v>232</v>
      </c>
      <c r="B79" s="11" t="s">
        <v>233</v>
      </c>
      <c r="C79" s="12"/>
      <c r="D79" s="13"/>
      <c r="E79" s="14"/>
      <c r="F79" s="13"/>
      <c r="G79" s="13"/>
      <c r="H79" s="15"/>
      <c r="I79" s="15"/>
      <c r="J79" s="16"/>
      <c r="K79" s="16"/>
      <c r="L79" s="12"/>
      <c r="M79" s="16"/>
      <c r="N79" s="13"/>
      <c r="O79" s="39"/>
      <c r="P79" s="39"/>
      <c r="Q79" s="39"/>
      <c r="R79" s="39"/>
      <c r="S79" s="40"/>
      <c r="T79" s="158"/>
      <c r="U79" s="141"/>
      <c r="V79" s="40"/>
      <c r="W79" s="145"/>
      <c r="X79" s="39"/>
      <c r="Y79" s="39"/>
      <c r="Z79" s="39"/>
      <c r="AA79" s="39"/>
      <c r="AB79" s="39"/>
      <c r="AC79" s="39"/>
      <c r="AD79" s="39"/>
      <c r="AE79" s="39"/>
      <c r="AF79" s="39"/>
      <c r="AG79" s="39"/>
      <c r="AH79" s="39"/>
    </row>
    <row r="80" spans="1:34" s="18" customFormat="1" ht="24" customHeight="1" x14ac:dyDescent="0.25">
      <c r="A80" s="19">
        <v>1</v>
      </c>
      <c r="B80" s="20" t="s">
        <v>234</v>
      </c>
      <c r="C80" s="9"/>
      <c r="D80" s="19" t="s">
        <v>235</v>
      </c>
      <c r="E80" s="42" t="s">
        <v>236</v>
      </c>
      <c r="F80" s="156"/>
      <c r="G80" s="19">
        <v>2016</v>
      </c>
      <c r="H80" s="22">
        <v>42557</v>
      </c>
      <c r="I80" s="22" t="s">
        <v>23</v>
      </c>
      <c r="J80" s="23">
        <v>33398200</v>
      </c>
      <c r="K80" s="23"/>
      <c r="L80" s="9"/>
      <c r="M80" s="23"/>
      <c r="N80" s="19" t="s">
        <v>237</v>
      </c>
      <c r="O80" s="19" t="s">
        <v>60</v>
      </c>
      <c r="P80" s="32" t="s">
        <v>238</v>
      </c>
      <c r="Q80" s="32"/>
      <c r="R80" s="32"/>
      <c r="S80" s="33"/>
      <c r="T80" s="55"/>
      <c r="U80" s="139"/>
      <c r="V80" s="34" t="s">
        <v>644</v>
      </c>
      <c r="W80" s="147"/>
      <c r="X80" s="32"/>
      <c r="Y80" s="32"/>
      <c r="Z80" s="34" t="s">
        <v>621</v>
      </c>
      <c r="AA80" s="32"/>
      <c r="AB80" s="32"/>
      <c r="AC80" s="32"/>
      <c r="AD80" s="32"/>
      <c r="AE80" s="32"/>
      <c r="AF80" s="32"/>
      <c r="AG80" s="32"/>
      <c r="AH80" s="34" t="s">
        <v>647</v>
      </c>
    </row>
    <row r="81" spans="1:34" s="18" customFormat="1" ht="24" customHeight="1" x14ac:dyDescent="0.25">
      <c r="A81" s="19">
        <v>2</v>
      </c>
      <c r="B81" s="20" t="s">
        <v>239</v>
      </c>
      <c r="C81" s="9"/>
      <c r="D81" s="19" t="s">
        <v>235</v>
      </c>
      <c r="E81" s="42" t="s">
        <v>240</v>
      </c>
      <c r="F81" s="156"/>
      <c r="G81" s="19">
        <v>2017</v>
      </c>
      <c r="H81" s="22">
        <v>42937</v>
      </c>
      <c r="I81" s="22" t="s">
        <v>23</v>
      </c>
      <c r="J81" s="23">
        <v>51025700</v>
      </c>
      <c r="K81" s="23"/>
      <c r="L81" s="9"/>
      <c r="M81" s="23"/>
      <c r="N81" s="19" t="s">
        <v>237</v>
      </c>
      <c r="O81" s="32" t="s">
        <v>58</v>
      </c>
      <c r="P81" s="32" t="s">
        <v>238</v>
      </c>
      <c r="Q81" s="32"/>
      <c r="R81" s="32"/>
      <c r="S81" s="33"/>
      <c r="T81" s="55"/>
      <c r="U81" s="139"/>
      <c r="V81" s="34" t="s">
        <v>643</v>
      </c>
      <c r="W81" s="147"/>
      <c r="X81" s="32"/>
      <c r="Y81" s="32"/>
      <c r="Z81" s="34" t="s">
        <v>621</v>
      </c>
      <c r="AA81" s="32"/>
      <c r="AB81" s="32"/>
      <c r="AC81" s="32"/>
      <c r="AD81" s="32"/>
      <c r="AE81" s="32"/>
      <c r="AF81" s="32"/>
      <c r="AG81" s="32"/>
      <c r="AH81" s="34" t="s">
        <v>646</v>
      </c>
    </row>
    <row r="82" spans="1:34" s="18" customFormat="1" ht="24" customHeight="1" x14ac:dyDescent="0.25">
      <c r="A82" s="19">
        <v>3</v>
      </c>
      <c r="B82" s="20" t="s">
        <v>241</v>
      </c>
      <c r="C82" s="9"/>
      <c r="D82" s="19" t="s">
        <v>235</v>
      </c>
      <c r="E82" s="42" t="s">
        <v>242</v>
      </c>
      <c r="F82" s="156"/>
      <c r="G82" s="19">
        <v>2025</v>
      </c>
      <c r="H82" s="22">
        <v>45668</v>
      </c>
      <c r="I82" s="22" t="s">
        <v>23</v>
      </c>
      <c r="J82" s="23">
        <v>198516600</v>
      </c>
      <c r="K82" s="23"/>
      <c r="L82" s="9"/>
      <c r="M82" s="23"/>
      <c r="N82" s="19" t="s">
        <v>237</v>
      </c>
      <c r="O82" s="32" t="s">
        <v>58</v>
      </c>
      <c r="P82" s="32" t="s">
        <v>238</v>
      </c>
      <c r="Q82" s="32">
        <v>2025</v>
      </c>
      <c r="R82" s="32" t="s">
        <v>487</v>
      </c>
      <c r="S82" s="33"/>
      <c r="T82" s="55"/>
      <c r="U82" s="139" t="s">
        <v>489</v>
      </c>
      <c r="V82" s="34" t="s">
        <v>642</v>
      </c>
      <c r="W82" s="147"/>
      <c r="X82" s="32"/>
      <c r="Y82" s="32"/>
      <c r="Z82" s="34" t="s">
        <v>621</v>
      </c>
      <c r="AA82" s="32"/>
      <c r="AB82" s="32"/>
      <c r="AC82" s="32"/>
      <c r="AD82" s="32"/>
      <c r="AE82" s="32"/>
      <c r="AF82" s="32"/>
      <c r="AG82" s="32"/>
      <c r="AH82" s="34" t="s">
        <v>645</v>
      </c>
    </row>
    <row r="83" spans="1:34" s="18" customFormat="1" ht="24" customHeight="1" x14ac:dyDescent="0.25">
      <c r="A83" s="10" t="s">
        <v>243</v>
      </c>
      <c r="B83" s="11" t="s">
        <v>244</v>
      </c>
      <c r="C83" s="12"/>
      <c r="D83" s="13"/>
      <c r="E83" s="14"/>
      <c r="F83" s="13"/>
      <c r="G83" s="13"/>
      <c r="H83" s="15"/>
      <c r="I83" s="15"/>
      <c r="J83" s="16"/>
      <c r="K83" s="16"/>
      <c r="L83" s="12"/>
      <c r="M83" s="16"/>
      <c r="N83" s="13"/>
      <c r="O83" s="39"/>
      <c r="P83" s="39"/>
      <c r="Q83" s="39"/>
      <c r="R83" s="39"/>
      <c r="S83" s="40"/>
      <c r="T83" s="158"/>
      <c r="U83" s="141"/>
      <c r="V83" s="40"/>
      <c r="W83" s="145"/>
      <c r="X83" s="39"/>
      <c r="Y83" s="39"/>
      <c r="Z83" s="39"/>
      <c r="AA83" s="39"/>
      <c r="AB83" s="39"/>
      <c r="AC83" s="39"/>
      <c r="AD83" s="39"/>
      <c r="AE83" s="39"/>
      <c r="AF83" s="39"/>
      <c r="AG83" s="39"/>
      <c r="AH83" s="39"/>
    </row>
    <row r="84" spans="1:34" s="18" customFormat="1" ht="36" customHeight="1" x14ac:dyDescent="0.25">
      <c r="A84" s="19">
        <v>1</v>
      </c>
      <c r="B84" s="20" t="s">
        <v>245</v>
      </c>
      <c r="C84" s="9"/>
      <c r="D84" s="19" t="s">
        <v>246</v>
      </c>
      <c r="E84" s="42" t="s">
        <v>247</v>
      </c>
      <c r="F84" s="156"/>
      <c r="G84" s="19"/>
      <c r="H84" s="22">
        <v>43320</v>
      </c>
      <c r="I84" s="22" t="s">
        <v>248</v>
      </c>
      <c r="J84" s="23">
        <v>73500000</v>
      </c>
      <c r="K84" s="23"/>
      <c r="L84" s="23" t="s">
        <v>249</v>
      </c>
      <c r="M84" s="23" t="s">
        <v>249</v>
      </c>
      <c r="N84" s="26" t="s">
        <v>167</v>
      </c>
      <c r="O84" s="32" t="s">
        <v>58</v>
      </c>
      <c r="P84" s="32" t="s">
        <v>238</v>
      </c>
      <c r="Q84" s="32"/>
      <c r="R84" s="32"/>
      <c r="S84" s="33"/>
      <c r="T84" s="55"/>
      <c r="U84" s="139"/>
      <c r="V84" s="33"/>
      <c r="W84" s="147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</row>
    <row r="85" spans="1:34" s="18" customFormat="1" ht="36" customHeight="1" x14ac:dyDescent="0.25">
      <c r="A85" s="19">
        <v>2</v>
      </c>
      <c r="B85" s="20" t="s">
        <v>250</v>
      </c>
      <c r="C85" s="9"/>
      <c r="D85" s="19" t="s">
        <v>246</v>
      </c>
      <c r="E85" s="42" t="s">
        <v>251</v>
      </c>
      <c r="F85" s="156"/>
      <c r="G85" s="19"/>
      <c r="H85" s="22">
        <v>44039</v>
      </c>
      <c r="I85" s="22" t="s">
        <v>248</v>
      </c>
      <c r="J85" s="23">
        <v>79275000</v>
      </c>
      <c r="K85" s="23"/>
      <c r="L85" s="23" t="s">
        <v>249</v>
      </c>
      <c r="M85" s="23" t="s">
        <v>249</v>
      </c>
      <c r="N85" s="26" t="s">
        <v>167</v>
      </c>
      <c r="O85" s="32" t="s">
        <v>58</v>
      </c>
      <c r="P85" s="32" t="s">
        <v>238</v>
      </c>
      <c r="Q85" s="32"/>
      <c r="R85" s="32"/>
      <c r="S85" s="33"/>
      <c r="T85" s="55"/>
      <c r="U85" s="139"/>
      <c r="V85" s="33"/>
      <c r="W85" s="147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</row>
    <row r="86" spans="1:34" s="18" customFormat="1" ht="36" customHeight="1" x14ac:dyDescent="0.25">
      <c r="A86" s="19">
        <v>3</v>
      </c>
      <c r="B86" s="20" t="s">
        <v>696</v>
      </c>
      <c r="C86" s="9"/>
      <c r="D86" s="19" t="s">
        <v>498</v>
      </c>
      <c r="E86" s="42" t="s">
        <v>696</v>
      </c>
      <c r="F86" s="156"/>
      <c r="G86" s="19">
        <v>2026</v>
      </c>
      <c r="H86" s="22">
        <v>46164</v>
      </c>
      <c r="I86" s="22" t="s">
        <v>44</v>
      </c>
      <c r="J86" s="23">
        <v>7190000</v>
      </c>
      <c r="K86" s="23" t="s">
        <v>302</v>
      </c>
      <c r="L86" s="23"/>
      <c r="M86" s="23"/>
      <c r="N86" s="26" t="s">
        <v>697</v>
      </c>
      <c r="O86" s="32" t="s">
        <v>698</v>
      </c>
      <c r="P86" s="32" t="s">
        <v>238</v>
      </c>
      <c r="Q86" s="32"/>
      <c r="R86" s="32"/>
      <c r="S86" s="33"/>
      <c r="T86" s="55"/>
      <c r="U86" s="139"/>
      <c r="V86" s="33"/>
      <c r="W86" s="147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</row>
    <row r="87" spans="1:34" s="53" customFormat="1" ht="24" customHeight="1" x14ac:dyDescent="0.25">
      <c r="A87" s="10" t="s">
        <v>252</v>
      </c>
      <c r="B87" s="11" t="s">
        <v>652</v>
      </c>
      <c r="C87" s="12"/>
      <c r="D87" s="13"/>
      <c r="E87" s="14"/>
      <c r="F87" s="13"/>
      <c r="G87" s="13"/>
      <c r="H87" s="15"/>
      <c r="I87" s="15"/>
      <c r="J87" s="16"/>
      <c r="K87" s="16"/>
      <c r="L87" s="12"/>
      <c r="M87" s="16"/>
      <c r="N87" s="13"/>
      <c r="O87" s="39"/>
      <c r="P87" s="39"/>
      <c r="Q87" s="39"/>
      <c r="R87" s="39"/>
      <c r="S87" s="40"/>
      <c r="T87" s="158"/>
      <c r="U87" s="141"/>
      <c r="V87" s="40"/>
      <c r="W87" s="145"/>
      <c r="X87" s="39"/>
      <c r="Y87" s="39"/>
      <c r="Z87" s="39"/>
      <c r="AA87" s="39"/>
      <c r="AB87" s="39"/>
      <c r="AC87" s="39"/>
      <c r="AD87" s="39"/>
      <c r="AE87" s="39"/>
      <c r="AF87" s="39"/>
      <c r="AG87" s="39"/>
      <c r="AH87" s="39"/>
    </row>
    <row r="88" spans="1:34" s="18" customFormat="1" ht="24" customHeight="1" x14ac:dyDescent="0.25">
      <c r="A88" s="19">
        <v>1</v>
      </c>
      <c r="B88" s="20" t="s">
        <v>253</v>
      </c>
      <c r="C88" s="9"/>
      <c r="D88" s="19" t="s">
        <v>254</v>
      </c>
      <c r="E88" s="54" t="s">
        <v>255</v>
      </c>
      <c r="F88" s="156"/>
      <c r="G88" s="19">
        <v>2015</v>
      </c>
      <c r="H88" s="22">
        <v>42178</v>
      </c>
      <c r="I88" s="22" t="s">
        <v>256</v>
      </c>
      <c r="J88" s="23">
        <v>69520000</v>
      </c>
      <c r="K88" s="23" t="s">
        <v>257</v>
      </c>
      <c r="L88" s="9"/>
      <c r="M88" s="23"/>
      <c r="N88" s="19" t="s">
        <v>258</v>
      </c>
      <c r="O88" s="32" t="s">
        <v>58</v>
      </c>
      <c r="P88" s="32" t="s">
        <v>238</v>
      </c>
      <c r="Q88" s="32"/>
      <c r="R88" s="32"/>
      <c r="S88" s="33"/>
      <c r="T88" s="55" t="s">
        <v>259</v>
      </c>
      <c r="U88" s="139"/>
      <c r="V88" s="33"/>
      <c r="W88" s="147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</row>
    <row r="89" spans="1:34" s="18" customFormat="1" ht="24" customHeight="1" x14ac:dyDescent="0.25">
      <c r="A89" s="19">
        <v>2</v>
      </c>
      <c r="B89" s="20" t="s">
        <v>260</v>
      </c>
      <c r="C89" s="9"/>
      <c r="D89" s="19" t="s">
        <v>254</v>
      </c>
      <c r="E89" s="54" t="s">
        <v>261</v>
      </c>
      <c r="F89" s="156"/>
      <c r="G89" s="19">
        <v>2018</v>
      </c>
      <c r="H89" s="22">
        <v>43234</v>
      </c>
      <c r="I89" s="22" t="s">
        <v>256</v>
      </c>
      <c r="J89" s="23">
        <v>48300000</v>
      </c>
      <c r="K89" s="23" t="s">
        <v>257</v>
      </c>
      <c r="L89" s="9"/>
      <c r="M89" s="23"/>
      <c r="N89" s="19" t="s">
        <v>258</v>
      </c>
      <c r="O89" s="32" t="s">
        <v>58</v>
      </c>
      <c r="P89" s="32" t="s">
        <v>238</v>
      </c>
      <c r="Q89" s="32"/>
      <c r="R89" s="32"/>
      <c r="S89" s="33"/>
      <c r="T89" s="55" t="s">
        <v>262</v>
      </c>
      <c r="U89" s="139"/>
      <c r="V89" s="33"/>
      <c r="W89" s="147"/>
      <c r="X89" s="32"/>
      <c r="Y89" s="32"/>
      <c r="Z89" s="32"/>
      <c r="AA89" s="32"/>
      <c r="AB89" s="32"/>
      <c r="AC89" s="32"/>
      <c r="AD89" s="32"/>
      <c r="AE89" s="32"/>
      <c r="AF89" s="32"/>
      <c r="AG89" s="32"/>
      <c r="AH89" s="32"/>
    </row>
    <row r="90" spans="1:34" s="18" customFormat="1" ht="24" customHeight="1" x14ac:dyDescent="0.25">
      <c r="A90" s="19">
        <v>3</v>
      </c>
      <c r="B90" s="20" t="s">
        <v>263</v>
      </c>
      <c r="C90" s="9"/>
      <c r="D90" s="19" t="s">
        <v>254</v>
      </c>
      <c r="E90" s="54" t="s">
        <v>264</v>
      </c>
      <c r="F90" s="156"/>
      <c r="G90" s="19">
        <v>2020</v>
      </c>
      <c r="H90" s="22">
        <v>44151</v>
      </c>
      <c r="I90" s="22" t="s">
        <v>33</v>
      </c>
      <c r="J90" s="23">
        <v>60500000</v>
      </c>
      <c r="K90" s="23" t="s">
        <v>257</v>
      </c>
      <c r="L90" s="9"/>
      <c r="M90" s="23"/>
      <c r="N90" s="19" t="s">
        <v>258</v>
      </c>
      <c r="O90" s="32" t="s">
        <v>58</v>
      </c>
      <c r="P90" s="32" t="s">
        <v>238</v>
      </c>
      <c r="Q90" s="32"/>
      <c r="R90" s="32"/>
      <c r="S90" s="33"/>
      <c r="T90" s="55" t="s">
        <v>265</v>
      </c>
      <c r="U90" s="139"/>
      <c r="V90" s="33"/>
      <c r="W90" s="147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</row>
    <row r="91" spans="1:34" s="18" customFormat="1" ht="24" customHeight="1" x14ac:dyDescent="0.25">
      <c r="A91" s="19">
        <v>4</v>
      </c>
      <c r="B91" s="20" t="s">
        <v>266</v>
      </c>
      <c r="C91" s="9"/>
      <c r="D91" s="19" t="s">
        <v>254</v>
      </c>
      <c r="E91" s="54" t="s">
        <v>267</v>
      </c>
      <c r="F91" s="156"/>
      <c r="G91" s="19">
        <v>2018</v>
      </c>
      <c r="H91" s="22">
        <v>43428</v>
      </c>
      <c r="I91" s="22" t="s">
        <v>256</v>
      </c>
      <c r="J91" s="23">
        <v>36900000</v>
      </c>
      <c r="K91" s="23" t="s">
        <v>257</v>
      </c>
      <c r="L91" s="9"/>
      <c r="M91" s="23"/>
      <c r="N91" s="19" t="s">
        <v>268</v>
      </c>
      <c r="O91" s="32" t="s">
        <v>58</v>
      </c>
      <c r="P91" s="32" t="s">
        <v>238</v>
      </c>
      <c r="Q91" s="32"/>
      <c r="R91" s="32"/>
      <c r="S91" s="33"/>
      <c r="T91" s="55" t="s">
        <v>265</v>
      </c>
      <c r="U91" s="139"/>
      <c r="V91" s="33"/>
      <c r="W91" s="147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</row>
    <row r="92" spans="1:34" s="18" customFormat="1" ht="24" customHeight="1" x14ac:dyDescent="0.25">
      <c r="A92" s="19">
        <v>5</v>
      </c>
      <c r="B92" s="20" t="s">
        <v>269</v>
      </c>
      <c r="C92" s="24"/>
      <c r="D92" s="19" t="s">
        <v>270</v>
      </c>
      <c r="E92" s="42" t="s">
        <v>271</v>
      </c>
      <c r="F92" s="156"/>
      <c r="G92" s="19">
        <v>2024</v>
      </c>
      <c r="H92" s="22">
        <v>45449</v>
      </c>
      <c r="I92" s="22" t="s">
        <v>272</v>
      </c>
      <c r="J92" s="23">
        <v>15399000</v>
      </c>
      <c r="K92" s="23" t="s">
        <v>257</v>
      </c>
      <c r="L92" s="9"/>
      <c r="M92" s="23"/>
      <c r="N92" s="19" t="s">
        <v>268</v>
      </c>
      <c r="O92" s="32" t="s">
        <v>58</v>
      </c>
      <c r="P92" s="32" t="s">
        <v>238</v>
      </c>
      <c r="Q92" s="32"/>
      <c r="R92" s="32"/>
      <c r="S92" s="33"/>
      <c r="T92" s="157" t="s">
        <v>97</v>
      </c>
      <c r="U92" s="139"/>
      <c r="V92" s="33"/>
      <c r="W92" s="147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</row>
    <row r="93" spans="1:34" s="18" customFormat="1" ht="24" customHeight="1" x14ac:dyDescent="0.25">
      <c r="A93" s="19">
        <v>6</v>
      </c>
      <c r="B93" s="20" t="s">
        <v>273</v>
      </c>
      <c r="C93" s="9"/>
      <c r="D93" s="19" t="s">
        <v>254</v>
      </c>
      <c r="E93" s="54" t="s">
        <v>274</v>
      </c>
      <c r="F93" s="156"/>
      <c r="G93" s="19">
        <v>2015</v>
      </c>
      <c r="H93" s="22">
        <v>42242</v>
      </c>
      <c r="I93" s="22" t="s">
        <v>275</v>
      </c>
      <c r="J93" s="23">
        <v>21990000</v>
      </c>
      <c r="K93" s="23" t="s">
        <v>257</v>
      </c>
      <c r="L93" s="9"/>
      <c r="M93" s="23"/>
      <c r="N93" s="19" t="s">
        <v>276</v>
      </c>
      <c r="O93" s="32" t="s">
        <v>58</v>
      </c>
      <c r="P93" s="32" t="s">
        <v>238</v>
      </c>
      <c r="Q93" s="32"/>
      <c r="R93" s="32"/>
      <c r="S93" s="33"/>
      <c r="T93" s="55" t="s">
        <v>277</v>
      </c>
      <c r="U93" s="139"/>
      <c r="V93" s="33"/>
      <c r="W93" s="147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</row>
    <row r="94" spans="1:34" s="18" customFormat="1" ht="46.15" customHeight="1" x14ac:dyDescent="0.25">
      <c r="A94" s="19">
        <v>7</v>
      </c>
      <c r="B94" s="20" t="s">
        <v>278</v>
      </c>
      <c r="C94" s="9"/>
      <c r="D94" s="19" t="s">
        <v>279</v>
      </c>
      <c r="E94" s="54" t="s">
        <v>280</v>
      </c>
      <c r="F94" s="156"/>
      <c r="G94" s="19"/>
      <c r="H94" s="22"/>
      <c r="I94" s="22" t="s">
        <v>33</v>
      </c>
      <c r="J94" s="23"/>
      <c r="K94" s="23" t="s">
        <v>24</v>
      </c>
      <c r="L94" s="9"/>
      <c r="M94" s="23"/>
      <c r="N94" s="32" t="s">
        <v>58</v>
      </c>
      <c r="O94" s="32" t="s">
        <v>58</v>
      </c>
      <c r="P94" s="32" t="s">
        <v>238</v>
      </c>
      <c r="Q94" s="32"/>
      <c r="R94" s="32"/>
      <c r="S94" s="33"/>
      <c r="T94" s="55"/>
      <c r="U94" s="139"/>
      <c r="V94" s="33"/>
      <c r="W94" s="147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</row>
    <row r="95" spans="1:34" s="18" customFormat="1" ht="54.4" customHeight="1" x14ac:dyDescent="0.25">
      <c r="A95" s="19">
        <v>8</v>
      </c>
      <c r="B95" s="20" t="s">
        <v>281</v>
      </c>
      <c r="C95" s="9"/>
      <c r="D95" s="19" t="s">
        <v>279</v>
      </c>
      <c r="E95" s="54" t="s">
        <v>282</v>
      </c>
      <c r="F95" s="156"/>
      <c r="G95" s="19"/>
      <c r="H95" s="22"/>
      <c r="I95" s="22" t="s">
        <v>283</v>
      </c>
      <c r="J95" s="23">
        <v>3500000</v>
      </c>
      <c r="K95" s="23" t="s">
        <v>24</v>
      </c>
      <c r="L95" s="9"/>
      <c r="M95" s="23"/>
      <c r="N95" s="19" t="s">
        <v>258</v>
      </c>
      <c r="O95" s="32" t="s">
        <v>58</v>
      </c>
      <c r="P95" s="32" t="s">
        <v>238</v>
      </c>
      <c r="Q95" s="32"/>
      <c r="R95" s="32"/>
      <c r="S95" s="33"/>
      <c r="T95" s="55" t="s">
        <v>284</v>
      </c>
      <c r="U95" s="139"/>
      <c r="V95" s="33"/>
      <c r="W95" s="147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</row>
    <row r="96" spans="1:34" s="18" customFormat="1" ht="54.4" customHeight="1" x14ac:dyDescent="0.25">
      <c r="A96" s="19">
        <v>9</v>
      </c>
      <c r="B96" s="20" t="s">
        <v>281</v>
      </c>
      <c r="C96" s="9"/>
      <c r="D96" s="19" t="s">
        <v>279</v>
      </c>
      <c r="E96" s="54" t="s">
        <v>282</v>
      </c>
      <c r="F96" s="156"/>
      <c r="G96" s="19"/>
      <c r="H96" s="22"/>
      <c r="I96" s="22" t="s">
        <v>283</v>
      </c>
      <c r="J96" s="23">
        <v>3500000</v>
      </c>
      <c r="K96" s="23" t="s">
        <v>24</v>
      </c>
      <c r="L96" s="9"/>
      <c r="M96" s="23"/>
      <c r="N96" s="19" t="s">
        <v>258</v>
      </c>
      <c r="O96" s="32" t="s">
        <v>58</v>
      </c>
      <c r="P96" s="32" t="s">
        <v>238</v>
      </c>
      <c r="Q96" s="32"/>
      <c r="R96" s="32"/>
      <c r="S96" s="33"/>
      <c r="T96" s="55" t="s">
        <v>284</v>
      </c>
      <c r="U96" s="139"/>
      <c r="V96" s="33"/>
      <c r="W96" s="147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</row>
    <row r="97" spans="1:34" s="18" customFormat="1" ht="54.4" customHeight="1" x14ac:dyDescent="0.25">
      <c r="A97" s="19">
        <v>10</v>
      </c>
      <c r="B97" s="20" t="s">
        <v>281</v>
      </c>
      <c r="C97" s="9"/>
      <c r="D97" s="19" t="s">
        <v>279</v>
      </c>
      <c r="E97" s="54" t="s">
        <v>282</v>
      </c>
      <c r="F97" s="156"/>
      <c r="G97" s="19"/>
      <c r="H97" s="22"/>
      <c r="I97" s="22" t="s">
        <v>283</v>
      </c>
      <c r="J97" s="23">
        <v>3500000</v>
      </c>
      <c r="K97" s="23" t="s">
        <v>24</v>
      </c>
      <c r="L97" s="9"/>
      <c r="M97" s="23"/>
      <c r="N97" s="19" t="s">
        <v>258</v>
      </c>
      <c r="O97" s="32" t="s">
        <v>58</v>
      </c>
      <c r="P97" s="32" t="s">
        <v>238</v>
      </c>
      <c r="Q97" s="32"/>
      <c r="R97" s="32"/>
      <c r="S97" s="33"/>
      <c r="T97" s="55" t="s">
        <v>284</v>
      </c>
      <c r="U97" s="139"/>
      <c r="V97" s="33"/>
      <c r="W97" s="147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</row>
    <row r="98" spans="1:34" s="18" customFormat="1" ht="54.4" customHeight="1" x14ac:dyDescent="0.25">
      <c r="A98" s="19">
        <v>11</v>
      </c>
      <c r="B98" s="20" t="s">
        <v>281</v>
      </c>
      <c r="C98" s="9"/>
      <c r="D98" s="19" t="s">
        <v>279</v>
      </c>
      <c r="E98" s="54" t="s">
        <v>282</v>
      </c>
      <c r="F98" s="156"/>
      <c r="G98" s="19"/>
      <c r="H98" s="22"/>
      <c r="I98" s="22" t="s">
        <v>283</v>
      </c>
      <c r="J98" s="23">
        <v>3500000</v>
      </c>
      <c r="K98" s="23" t="s">
        <v>24</v>
      </c>
      <c r="L98" s="9"/>
      <c r="M98" s="23"/>
      <c r="N98" s="19" t="s">
        <v>258</v>
      </c>
      <c r="O98" s="32" t="s">
        <v>58</v>
      </c>
      <c r="P98" s="32" t="s">
        <v>238</v>
      </c>
      <c r="Q98" s="32"/>
      <c r="R98" s="32"/>
      <c r="S98" s="33"/>
      <c r="T98" s="55" t="s">
        <v>284</v>
      </c>
      <c r="U98" s="139"/>
      <c r="V98" s="33"/>
      <c r="W98" s="147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</row>
    <row r="99" spans="1:34" s="18" customFormat="1" ht="84" customHeight="1" x14ac:dyDescent="0.25">
      <c r="A99" s="19">
        <v>12</v>
      </c>
      <c r="B99" s="20" t="s">
        <v>285</v>
      </c>
      <c r="C99" s="9"/>
      <c r="D99" s="19" t="s">
        <v>286</v>
      </c>
      <c r="E99" s="54" t="s">
        <v>287</v>
      </c>
      <c r="F99" s="156"/>
      <c r="G99" s="19"/>
      <c r="H99" s="22">
        <v>38526</v>
      </c>
      <c r="I99" s="22" t="s">
        <v>288</v>
      </c>
      <c r="J99" s="23">
        <v>12600000</v>
      </c>
      <c r="K99" s="23" t="s">
        <v>24</v>
      </c>
      <c r="L99" s="9"/>
      <c r="M99" s="23"/>
      <c r="N99" s="19" t="s">
        <v>258</v>
      </c>
      <c r="O99" s="32" t="s">
        <v>58</v>
      </c>
      <c r="P99" s="32" t="s">
        <v>238</v>
      </c>
      <c r="Q99" s="32"/>
      <c r="R99" s="32"/>
      <c r="S99" s="33"/>
      <c r="T99" s="55" t="s">
        <v>259</v>
      </c>
      <c r="U99" s="139"/>
      <c r="V99" s="33"/>
      <c r="W99" s="147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</row>
    <row r="100" spans="1:34" s="18" customFormat="1" ht="64.150000000000006" customHeight="1" x14ac:dyDescent="0.25">
      <c r="A100" s="19">
        <v>13</v>
      </c>
      <c r="B100" s="20" t="s">
        <v>289</v>
      </c>
      <c r="C100" s="9"/>
      <c r="D100" s="19" t="s">
        <v>290</v>
      </c>
      <c r="E100" s="54" t="s">
        <v>291</v>
      </c>
      <c r="F100" s="156"/>
      <c r="G100" s="19"/>
      <c r="H100" s="22">
        <v>38526</v>
      </c>
      <c r="I100" s="22" t="s">
        <v>292</v>
      </c>
      <c r="J100" s="23">
        <v>63500000</v>
      </c>
      <c r="K100" s="23" t="s">
        <v>24</v>
      </c>
      <c r="L100" s="9"/>
      <c r="M100" s="23"/>
      <c r="N100" s="19" t="s">
        <v>258</v>
      </c>
      <c r="O100" s="32" t="s">
        <v>58</v>
      </c>
      <c r="P100" s="32" t="s">
        <v>238</v>
      </c>
      <c r="Q100" s="32"/>
      <c r="R100" s="32"/>
      <c r="S100" s="33"/>
      <c r="T100" s="55" t="s">
        <v>259</v>
      </c>
      <c r="U100" s="139"/>
      <c r="V100" s="33"/>
      <c r="W100" s="147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</row>
    <row r="101" spans="1:34" s="18" customFormat="1" ht="64.150000000000006" customHeight="1" x14ac:dyDescent="0.25">
      <c r="A101" s="19">
        <v>14</v>
      </c>
      <c r="B101" s="20" t="s">
        <v>293</v>
      </c>
      <c r="C101" s="24"/>
      <c r="D101" s="19" t="s">
        <v>290</v>
      </c>
      <c r="E101" s="42" t="s">
        <v>294</v>
      </c>
      <c r="F101" s="156"/>
      <c r="G101" s="19"/>
      <c r="H101" s="22">
        <v>44488</v>
      </c>
      <c r="I101" s="22" t="s">
        <v>295</v>
      </c>
      <c r="J101" s="23">
        <v>7920000</v>
      </c>
      <c r="K101" s="23" t="s">
        <v>24</v>
      </c>
      <c r="L101" s="9"/>
      <c r="M101" s="23"/>
      <c r="N101" s="32" t="s">
        <v>58</v>
      </c>
      <c r="O101" s="32" t="s">
        <v>58</v>
      </c>
      <c r="P101" s="32" t="s">
        <v>238</v>
      </c>
      <c r="Q101" s="32"/>
      <c r="R101" s="32"/>
      <c r="S101" s="33"/>
      <c r="T101" s="55" t="s">
        <v>296</v>
      </c>
      <c r="U101" s="139"/>
      <c r="V101" s="33"/>
      <c r="W101" s="147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</row>
    <row r="102" spans="1:34" s="18" customFormat="1" ht="64.150000000000006" customHeight="1" x14ac:dyDescent="0.25">
      <c r="A102" s="19">
        <v>15</v>
      </c>
      <c r="B102" s="42" t="s">
        <v>653</v>
      </c>
      <c r="C102" s="24"/>
      <c r="D102" s="19" t="s">
        <v>654</v>
      </c>
      <c r="E102" s="42" t="s">
        <v>656</v>
      </c>
      <c r="F102" s="156"/>
      <c r="G102" s="19"/>
      <c r="H102" s="22">
        <v>45938</v>
      </c>
      <c r="I102" s="22" t="s">
        <v>330</v>
      </c>
      <c r="J102" s="23">
        <f>23499000+7399000</f>
        <v>30898000</v>
      </c>
      <c r="K102" s="23" t="s">
        <v>257</v>
      </c>
      <c r="L102" s="9"/>
      <c r="M102" s="23"/>
      <c r="N102" s="32" t="s">
        <v>655</v>
      </c>
      <c r="O102" s="32" t="s">
        <v>58</v>
      </c>
      <c r="P102" s="32" t="s">
        <v>238</v>
      </c>
      <c r="Q102" s="32"/>
      <c r="R102" s="32"/>
      <c r="S102" s="33"/>
      <c r="T102" s="157" t="s">
        <v>692</v>
      </c>
      <c r="U102" s="139"/>
      <c r="V102" s="33"/>
      <c r="W102" s="147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</row>
    <row r="103" spans="1:34" s="53" customFormat="1" ht="24" customHeight="1" x14ac:dyDescent="0.25">
      <c r="A103" s="10" t="s">
        <v>297</v>
      </c>
      <c r="B103" s="11" t="s">
        <v>298</v>
      </c>
      <c r="C103" s="12"/>
      <c r="D103" s="13"/>
      <c r="E103" s="14"/>
      <c r="F103" s="13"/>
      <c r="G103" s="13"/>
      <c r="H103" s="15"/>
      <c r="I103" s="15"/>
      <c r="J103" s="16"/>
      <c r="K103" s="16"/>
      <c r="L103" s="12"/>
      <c r="M103" s="16"/>
      <c r="N103" s="13"/>
      <c r="O103" s="39"/>
      <c r="P103" s="39"/>
      <c r="Q103" s="39"/>
      <c r="R103" s="39"/>
      <c r="S103" s="40"/>
      <c r="T103" s="158"/>
      <c r="U103" s="141"/>
      <c r="V103" s="40"/>
      <c r="W103" s="145"/>
      <c r="X103" s="39"/>
      <c r="Y103" s="39"/>
      <c r="Z103" s="39"/>
      <c r="AA103" s="39"/>
      <c r="AB103" s="39"/>
      <c r="AC103" s="39"/>
      <c r="AD103" s="39"/>
      <c r="AE103" s="39"/>
      <c r="AF103" s="39"/>
      <c r="AG103" s="39"/>
      <c r="AH103" s="39"/>
    </row>
    <row r="104" spans="1:34" s="18" customFormat="1" ht="24" customHeight="1" x14ac:dyDescent="0.25">
      <c r="A104" s="19">
        <v>1</v>
      </c>
      <c r="B104" s="20" t="s">
        <v>299</v>
      </c>
      <c r="C104" s="9"/>
      <c r="D104" s="19" t="s">
        <v>300</v>
      </c>
      <c r="E104" s="42" t="s">
        <v>301</v>
      </c>
      <c r="F104" s="156"/>
      <c r="G104" s="19"/>
      <c r="H104" s="22">
        <v>43384</v>
      </c>
      <c r="I104" s="22" t="s">
        <v>23</v>
      </c>
      <c r="J104" s="23">
        <v>3650000</v>
      </c>
      <c r="K104" s="23" t="s">
        <v>302</v>
      </c>
      <c r="L104" s="9"/>
      <c r="M104" s="23"/>
      <c r="N104" s="19" t="s">
        <v>303</v>
      </c>
      <c r="O104" s="32" t="s">
        <v>304</v>
      </c>
      <c r="P104" s="32" t="s">
        <v>238</v>
      </c>
      <c r="Q104" s="32"/>
      <c r="R104" s="32"/>
      <c r="S104" s="33" t="s">
        <v>305</v>
      </c>
      <c r="T104" s="55" t="s">
        <v>115</v>
      </c>
      <c r="U104" s="139"/>
      <c r="V104" s="33"/>
      <c r="W104" s="147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</row>
    <row r="105" spans="1:34" s="18" customFormat="1" ht="24" customHeight="1" x14ac:dyDescent="0.25">
      <c r="A105" s="19">
        <v>2</v>
      </c>
      <c r="B105" s="20" t="s">
        <v>306</v>
      </c>
      <c r="C105" s="24"/>
      <c r="D105" s="19" t="s">
        <v>300</v>
      </c>
      <c r="E105" s="42" t="s">
        <v>307</v>
      </c>
      <c r="F105" s="156"/>
      <c r="G105" s="19"/>
      <c r="H105" s="22">
        <v>44314</v>
      </c>
      <c r="I105" s="22" t="s">
        <v>23</v>
      </c>
      <c r="J105" s="23">
        <v>5699000</v>
      </c>
      <c r="K105" s="23" t="s">
        <v>302</v>
      </c>
      <c r="L105" s="9"/>
      <c r="M105" s="23"/>
      <c r="N105" s="19" t="s">
        <v>47</v>
      </c>
      <c r="O105" s="35" t="s">
        <v>48</v>
      </c>
      <c r="P105" s="35" t="s">
        <v>27</v>
      </c>
      <c r="Q105" s="35"/>
      <c r="R105" s="35"/>
      <c r="S105" s="33"/>
      <c r="T105" s="157" t="s">
        <v>97</v>
      </c>
      <c r="U105" s="139"/>
      <c r="V105" s="33"/>
      <c r="W105" s="147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</row>
    <row r="106" spans="1:34" s="18" customFormat="1" ht="24" customHeight="1" x14ac:dyDescent="0.25">
      <c r="A106" s="19">
        <v>3</v>
      </c>
      <c r="B106" s="20" t="s">
        <v>308</v>
      </c>
      <c r="C106" s="24"/>
      <c r="D106" s="19" t="s">
        <v>300</v>
      </c>
      <c r="E106" s="42" t="s">
        <v>309</v>
      </c>
      <c r="F106" s="156"/>
      <c r="G106" s="19"/>
      <c r="H106" s="22">
        <v>44601</v>
      </c>
      <c r="I106" s="22" t="s">
        <v>23</v>
      </c>
      <c r="J106" s="23">
        <v>4400000</v>
      </c>
      <c r="K106" s="23" t="s">
        <v>302</v>
      </c>
      <c r="L106" s="9"/>
      <c r="M106" s="23"/>
      <c r="N106" s="19" t="s">
        <v>310</v>
      </c>
      <c r="O106" s="35" t="s">
        <v>75</v>
      </c>
      <c r="P106" s="35" t="s">
        <v>27</v>
      </c>
      <c r="Q106" s="35"/>
      <c r="R106" s="35"/>
      <c r="S106" s="33"/>
      <c r="T106" s="157" t="s">
        <v>97</v>
      </c>
      <c r="U106" s="139"/>
      <c r="V106" s="33"/>
      <c r="W106" s="147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</row>
    <row r="107" spans="1:34" s="18" customFormat="1" ht="24" customHeight="1" x14ac:dyDescent="0.25">
      <c r="A107" s="19">
        <v>4</v>
      </c>
      <c r="B107" s="20" t="s">
        <v>311</v>
      </c>
      <c r="C107" s="24"/>
      <c r="D107" s="19" t="s">
        <v>300</v>
      </c>
      <c r="E107" s="42" t="s">
        <v>312</v>
      </c>
      <c r="F107" s="156"/>
      <c r="G107" s="19"/>
      <c r="H107" s="22">
        <v>44775</v>
      </c>
      <c r="I107" s="22" t="s">
        <v>23</v>
      </c>
      <c r="J107" s="23">
        <v>6647000</v>
      </c>
      <c r="K107" s="23" t="s">
        <v>302</v>
      </c>
      <c r="L107" s="9"/>
      <c r="M107" s="23"/>
      <c r="N107" s="19" t="s">
        <v>313</v>
      </c>
      <c r="O107" s="35" t="s">
        <v>119</v>
      </c>
      <c r="P107" s="35" t="s">
        <v>27</v>
      </c>
      <c r="Q107" s="35"/>
      <c r="R107" s="35"/>
      <c r="S107" s="33"/>
      <c r="T107" s="157" t="s">
        <v>97</v>
      </c>
      <c r="U107" s="139"/>
      <c r="V107" s="33"/>
      <c r="W107" s="147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</row>
    <row r="108" spans="1:34" s="18" customFormat="1" ht="24" customHeight="1" x14ac:dyDescent="0.25">
      <c r="A108" s="19">
        <v>5</v>
      </c>
      <c r="B108" s="20" t="s">
        <v>314</v>
      </c>
      <c r="C108" s="24"/>
      <c r="D108" s="19" t="s">
        <v>300</v>
      </c>
      <c r="E108" s="42" t="s">
        <v>315</v>
      </c>
      <c r="F108" s="156"/>
      <c r="G108" s="19"/>
      <c r="H108" s="22">
        <v>45103</v>
      </c>
      <c r="I108" s="22" t="s">
        <v>23</v>
      </c>
      <c r="J108" s="23">
        <v>3919000</v>
      </c>
      <c r="K108" s="23" t="s">
        <v>302</v>
      </c>
      <c r="L108" s="9"/>
      <c r="M108" s="23"/>
      <c r="N108" s="19" t="s">
        <v>316</v>
      </c>
      <c r="O108" s="35" t="s">
        <v>137</v>
      </c>
      <c r="P108" s="35" t="s">
        <v>27</v>
      </c>
      <c r="Q108" s="35"/>
      <c r="R108" s="35"/>
      <c r="S108" s="33" t="s">
        <v>317</v>
      </c>
      <c r="T108" s="157" t="s">
        <v>97</v>
      </c>
      <c r="U108" s="139"/>
      <c r="V108" s="33"/>
      <c r="W108" s="147"/>
      <c r="X108" s="32"/>
      <c r="Y108" s="32"/>
      <c r="Z108" s="32"/>
      <c r="AA108" s="32"/>
      <c r="AB108" s="32"/>
      <c r="AC108" s="32"/>
      <c r="AD108" s="32"/>
      <c r="AE108" s="32"/>
      <c r="AF108" s="32"/>
      <c r="AG108" s="32"/>
      <c r="AH108" s="32"/>
    </row>
    <row r="109" spans="1:34" s="18" customFormat="1" ht="24" customHeight="1" x14ac:dyDescent="0.25">
      <c r="A109" s="19">
        <v>6</v>
      </c>
      <c r="B109" s="20" t="s">
        <v>314</v>
      </c>
      <c r="C109" s="24"/>
      <c r="D109" s="19" t="s">
        <v>300</v>
      </c>
      <c r="E109" s="42" t="s">
        <v>315</v>
      </c>
      <c r="F109" s="156"/>
      <c r="G109" s="19"/>
      <c r="H109" s="22">
        <v>45498</v>
      </c>
      <c r="I109" s="22" t="s">
        <v>23</v>
      </c>
      <c r="J109" s="23">
        <v>3089000</v>
      </c>
      <c r="K109" s="23" t="s">
        <v>302</v>
      </c>
      <c r="L109" s="9"/>
      <c r="M109" s="23"/>
      <c r="N109" s="19" t="s">
        <v>316</v>
      </c>
      <c r="O109" s="35" t="s">
        <v>318</v>
      </c>
      <c r="P109" s="35" t="s">
        <v>27</v>
      </c>
      <c r="Q109" s="35"/>
      <c r="R109" s="35"/>
      <c r="S109" s="33"/>
      <c r="T109" s="157" t="s">
        <v>97</v>
      </c>
      <c r="U109" s="139"/>
      <c r="V109" s="33"/>
      <c r="W109" s="147"/>
      <c r="X109" s="32"/>
      <c r="Y109" s="32"/>
      <c r="Z109" s="32"/>
      <c r="AA109" s="32"/>
      <c r="AB109" s="32"/>
      <c r="AC109" s="32"/>
      <c r="AD109" s="32"/>
      <c r="AE109" s="32"/>
      <c r="AF109" s="32"/>
      <c r="AG109" s="32"/>
      <c r="AH109" s="32"/>
    </row>
    <row r="110" spans="1:34" s="18" customFormat="1" ht="24" customHeight="1" x14ac:dyDescent="0.25">
      <c r="A110" s="19">
        <v>7</v>
      </c>
      <c r="B110" s="20" t="s">
        <v>314</v>
      </c>
      <c r="C110" s="63"/>
      <c r="D110" s="19" t="s">
        <v>300</v>
      </c>
      <c r="E110" s="42" t="s">
        <v>315</v>
      </c>
      <c r="F110" s="156"/>
      <c r="G110" s="19"/>
      <c r="H110" s="22">
        <v>45498</v>
      </c>
      <c r="I110" s="22" t="s">
        <v>23</v>
      </c>
      <c r="J110" s="23">
        <v>3089001</v>
      </c>
      <c r="K110" s="23" t="s">
        <v>302</v>
      </c>
      <c r="L110" s="9"/>
      <c r="M110" s="23"/>
      <c r="N110" s="19" t="s">
        <v>472</v>
      </c>
      <c r="O110" s="35" t="s">
        <v>319</v>
      </c>
      <c r="P110" s="35" t="s">
        <v>27</v>
      </c>
      <c r="Q110" s="35"/>
      <c r="R110" s="35"/>
      <c r="S110" s="33"/>
      <c r="T110" s="157" t="s">
        <v>97</v>
      </c>
      <c r="U110" s="139"/>
      <c r="V110" s="33"/>
      <c r="W110" s="147"/>
      <c r="X110" s="32"/>
      <c r="Y110" s="32"/>
      <c r="Z110" s="32"/>
      <c r="AA110" s="32"/>
      <c r="AB110" s="32"/>
      <c r="AC110" s="32"/>
      <c r="AD110" s="32"/>
      <c r="AE110" s="32"/>
      <c r="AF110" s="32"/>
      <c r="AG110" s="32"/>
      <c r="AH110" s="32"/>
    </row>
    <row r="111" spans="1:34" s="18" customFormat="1" ht="24" customHeight="1" x14ac:dyDescent="0.25">
      <c r="A111" s="19">
        <v>8</v>
      </c>
      <c r="B111" s="20" t="s">
        <v>670</v>
      </c>
      <c r="C111" s="63"/>
      <c r="D111" s="19" t="s">
        <v>690</v>
      </c>
      <c r="E111" s="42" t="s">
        <v>671</v>
      </c>
      <c r="F111" s="156"/>
      <c r="G111" s="19">
        <v>2025</v>
      </c>
      <c r="H111" s="28">
        <v>46121</v>
      </c>
      <c r="I111" s="22" t="s">
        <v>23</v>
      </c>
      <c r="J111" s="23">
        <v>15474000</v>
      </c>
      <c r="K111" s="23" t="s">
        <v>302</v>
      </c>
      <c r="L111" s="9"/>
      <c r="M111" s="23"/>
      <c r="N111" s="19" t="s">
        <v>669</v>
      </c>
      <c r="O111" s="35" t="s">
        <v>666</v>
      </c>
      <c r="P111" s="35" t="s">
        <v>27</v>
      </c>
      <c r="Q111" s="35"/>
      <c r="R111" s="35"/>
      <c r="S111" s="30"/>
      <c r="T111" s="157" t="s">
        <v>667</v>
      </c>
      <c r="U111" s="140" t="s">
        <v>668</v>
      </c>
      <c r="V111" s="33"/>
      <c r="W111" s="147"/>
      <c r="X111" s="32"/>
      <c r="Y111" s="32"/>
      <c r="Z111" s="32"/>
      <c r="AA111" s="32"/>
      <c r="AB111" s="32"/>
      <c r="AC111" s="32"/>
      <c r="AD111" s="32"/>
      <c r="AE111" s="32"/>
      <c r="AF111" s="32"/>
      <c r="AG111" s="32"/>
      <c r="AH111" s="32"/>
    </row>
    <row r="112" spans="1:34" s="18" customFormat="1" ht="24" customHeight="1" x14ac:dyDescent="0.25">
      <c r="A112" s="19">
        <v>9</v>
      </c>
      <c r="B112" s="20" t="s">
        <v>689</v>
      </c>
      <c r="C112" s="63"/>
      <c r="D112" s="19" t="s">
        <v>690</v>
      </c>
      <c r="E112" s="42" t="s">
        <v>691</v>
      </c>
      <c r="F112" s="156"/>
      <c r="G112" s="19">
        <v>2026</v>
      </c>
      <c r="H112" s="28">
        <v>46164</v>
      </c>
      <c r="I112" s="22" t="s">
        <v>23</v>
      </c>
      <c r="J112" s="23">
        <v>6990000</v>
      </c>
      <c r="K112" s="23" t="s">
        <v>302</v>
      </c>
      <c r="L112" s="9"/>
      <c r="M112" s="23"/>
      <c r="N112" s="19" t="s">
        <v>669</v>
      </c>
      <c r="O112" s="35" t="s">
        <v>680</v>
      </c>
      <c r="P112" s="35" t="s">
        <v>27</v>
      </c>
      <c r="Q112" s="35"/>
      <c r="R112" s="35"/>
      <c r="S112" s="30"/>
      <c r="T112" s="157" t="s">
        <v>692</v>
      </c>
      <c r="U112" s="140"/>
      <c r="V112" s="33"/>
      <c r="W112" s="147"/>
      <c r="X112" s="32"/>
      <c r="Y112" s="32"/>
      <c r="Z112" s="32"/>
      <c r="AA112" s="32"/>
      <c r="AB112" s="32"/>
      <c r="AC112" s="32"/>
      <c r="AD112" s="32"/>
      <c r="AE112" s="32"/>
      <c r="AF112" s="32"/>
      <c r="AG112" s="32"/>
      <c r="AH112" s="32"/>
    </row>
    <row r="113" spans="1:34" s="18" customFormat="1" ht="24" customHeight="1" x14ac:dyDescent="0.25">
      <c r="A113" s="19">
        <v>10</v>
      </c>
      <c r="B113" s="20" t="s">
        <v>689</v>
      </c>
      <c r="C113" s="63"/>
      <c r="D113" s="19" t="s">
        <v>690</v>
      </c>
      <c r="E113" s="42" t="s">
        <v>691</v>
      </c>
      <c r="F113" s="156"/>
      <c r="G113" s="19">
        <v>2026</v>
      </c>
      <c r="H113" s="28">
        <v>46164</v>
      </c>
      <c r="I113" s="22" t="s">
        <v>23</v>
      </c>
      <c r="J113" s="23">
        <v>6990000</v>
      </c>
      <c r="K113" s="23" t="s">
        <v>302</v>
      </c>
      <c r="L113" s="9"/>
      <c r="M113" s="23"/>
      <c r="N113" s="19" t="s">
        <v>669</v>
      </c>
      <c r="O113" s="35" t="s">
        <v>681</v>
      </c>
      <c r="P113" s="35" t="s">
        <v>27</v>
      </c>
      <c r="Q113" s="35"/>
      <c r="R113" s="35"/>
      <c r="S113" s="30"/>
      <c r="T113" s="157" t="s">
        <v>692</v>
      </c>
      <c r="U113" s="140"/>
      <c r="V113" s="33"/>
      <c r="W113" s="147"/>
      <c r="X113" s="32"/>
      <c r="Y113" s="32"/>
      <c r="Z113" s="32"/>
      <c r="AA113" s="32"/>
      <c r="AB113" s="32"/>
      <c r="AC113" s="32"/>
      <c r="AD113" s="32"/>
      <c r="AE113" s="32"/>
      <c r="AF113" s="32"/>
      <c r="AG113" s="32"/>
      <c r="AH113" s="32"/>
    </row>
    <row r="114" spans="1:34" s="18" customFormat="1" ht="24" customHeight="1" x14ac:dyDescent="0.25">
      <c r="A114" s="19">
        <v>11</v>
      </c>
      <c r="B114" s="20" t="s">
        <v>689</v>
      </c>
      <c r="C114" s="63"/>
      <c r="D114" s="19" t="s">
        <v>690</v>
      </c>
      <c r="E114" s="42" t="s">
        <v>691</v>
      </c>
      <c r="F114" s="156"/>
      <c r="G114" s="19">
        <v>2026</v>
      </c>
      <c r="H114" s="28">
        <v>46164</v>
      </c>
      <c r="I114" s="22" t="s">
        <v>23</v>
      </c>
      <c r="J114" s="23">
        <v>6990000</v>
      </c>
      <c r="K114" s="23" t="s">
        <v>302</v>
      </c>
      <c r="L114" s="9"/>
      <c r="M114" s="23"/>
      <c r="N114" s="19" t="s">
        <v>669</v>
      </c>
      <c r="O114" s="35" t="s">
        <v>682</v>
      </c>
      <c r="P114" s="35" t="s">
        <v>27</v>
      </c>
      <c r="Q114" s="35"/>
      <c r="R114" s="35"/>
      <c r="S114" s="30"/>
      <c r="T114" s="157" t="s">
        <v>692</v>
      </c>
      <c r="U114" s="140"/>
      <c r="V114" s="33"/>
      <c r="W114" s="147"/>
      <c r="X114" s="32"/>
      <c r="Y114" s="32"/>
      <c r="Z114" s="32"/>
      <c r="AA114" s="32"/>
      <c r="AB114" s="32"/>
      <c r="AC114" s="32"/>
      <c r="AD114" s="32"/>
      <c r="AE114" s="32"/>
      <c r="AF114" s="32"/>
      <c r="AG114" s="32"/>
      <c r="AH114" s="32"/>
    </row>
    <row r="115" spans="1:34" s="18" customFormat="1" ht="24" customHeight="1" x14ac:dyDescent="0.25">
      <c r="A115" s="19">
        <v>12</v>
      </c>
      <c r="B115" s="20" t="s">
        <v>689</v>
      </c>
      <c r="C115" s="63"/>
      <c r="D115" s="19" t="s">
        <v>690</v>
      </c>
      <c r="E115" s="42" t="s">
        <v>691</v>
      </c>
      <c r="F115" s="156"/>
      <c r="G115" s="19">
        <v>2026</v>
      </c>
      <c r="H115" s="28">
        <v>46164</v>
      </c>
      <c r="I115" s="22" t="s">
        <v>23</v>
      </c>
      <c r="J115" s="23">
        <v>6990000</v>
      </c>
      <c r="K115" s="23" t="s">
        <v>302</v>
      </c>
      <c r="L115" s="9"/>
      <c r="M115" s="23"/>
      <c r="N115" s="19" t="s">
        <v>669</v>
      </c>
      <c r="O115" s="35"/>
      <c r="P115" s="35" t="s">
        <v>27</v>
      </c>
      <c r="Q115" s="35"/>
      <c r="R115" s="35"/>
      <c r="S115" s="30"/>
      <c r="T115" s="157" t="s">
        <v>692</v>
      </c>
      <c r="U115" s="140"/>
      <c r="V115" s="33"/>
      <c r="W115" s="147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</row>
    <row r="116" spans="1:34" s="53" customFormat="1" ht="24" customHeight="1" x14ac:dyDescent="0.25">
      <c r="A116" s="10" t="s">
        <v>320</v>
      </c>
      <c r="B116" s="11" t="s">
        <v>323</v>
      </c>
      <c r="C116" s="12"/>
      <c r="D116" s="13"/>
      <c r="E116" s="14"/>
      <c r="F116" s="13"/>
      <c r="G116" s="13"/>
      <c r="H116" s="15"/>
      <c r="I116" s="15"/>
      <c r="J116" s="16"/>
      <c r="K116" s="16"/>
      <c r="L116" s="12"/>
      <c r="M116" s="16"/>
      <c r="N116" s="13"/>
      <c r="O116" s="39"/>
      <c r="P116" s="39"/>
      <c r="Q116" s="39"/>
      <c r="R116" s="39"/>
      <c r="S116" s="40"/>
      <c r="T116" s="158"/>
      <c r="U116" s="141"/>
      <c r="V116" s="40"/>
      <c r="W116" s="145"/>
      <c r="X116" s="39"/>
      <c r="Y116" s="39"/>
      <c r="Z116" s="39"/>
      <c r="AA116" s="39"/>
      <c r="AB116" s="39"/>
      <c r="AC116" s="39"/>
      <c r="AD116" s="39"/>
      <c r="AE116" s="39"/>
      <c r="AF116" s="39"/>
      <c r="AG116" s="39"/>
      <c r="AH116" s="39"/>
    </row>
    <row r="117" spans="1:34" s="18" customFormat="1" ht="24" customHeight="1" x14ac:dyDescent="0.25">
      <c r="A117" s="19">
        <v>1</v>
      </c>
      <c r="B117" s="20" t="s">
        <v>324</v>
      </c>
      <c r="C117" s="9"/>
      <c r="D117" s="19" t="s">
        <v>325</v>
      </c>
      <c r="E117" s="20" t="s">
        <v>324</v>
      </c>
      <c r="F117" s="19"/>
      <c r="G117" s="19"/>
      <c r="H117" s="22">
        <v>43384</v>
      </c>
      <c r="I117" s="22" t="s">
        <v>23</v>
      </c>
      <c r="J117" s="23">
        <v>590000</v>
      </c>
      <c r="K117" s="23" t="s">
        <v>24</v>
      </c>
      <c r="L117" s="9"/>
      <c r="M117" s="23"/>
      <c r="N117" s="19" t="s">
        <v>219</v>
      </c>
      <c r="O117" s="32" t="s">
        <v>181</v>
      </c>
      <c r="P117" s="35" t="s">
        <v>27</v>
      </c>
      <c r="Q117" s="32"/>
      <c r="R117" s="32"/>
      <c r="S117" s="33" t="s">
        <v>327</v>
      </c>
      <c r="T117" s="55" t="s">
        <v>115</v>
      </c>
      <c r="U117" s="139" t="s">
        <v>328</v>
      </c>
      <c r="V117" s="33"/>
      <c r="W117" s="147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</row>
    <row r="118" spans="1:34" s="18" customFormat="1" ht="24" customHeight="1" x14ac:dyDescent="0.25">
      <c r="A118" s="19">
        <v>2</v>
      </c>
      <c r="B118" s="20" t="s">
        <v>329</v>
      </c>
      <c r="C118" s="9"/>
      <c r="D118" s="19" t="s">
        <v>325</v>
      </c>
      <c r="E118" s="20" t="s">
        <v>329</v>
      </c>
      <c r="F118" s="19"/>
      <c r="G118" s="19"/>
      <c r="H118" s="22">
        <v>43796</v>
      </c>
      <c r="I118" s="22" t="s">
        <v>330</v>
      </c>
      <c r="J118" s="23">
        <v>1190000</v>
      </c>
      <c r="K118" s="23" t="s">
        <v>24</v>
      </c>
      <c r="L118" s="9"/>
      <c r="M118" s="23"/>
      <c r="N118" s="19" t="s">
        <v>192</v>
      </c>
      <c r="O118" s="32" t="s">
        <v>331</v>
      </c>
      <c r="P118" s="32" t="s">
        <v>326</v>
      </c>
      <c r="Q118" s="32"/>
      <c r="R118" s="32"/>
      <c r="S118" s="33"/>
      <c r="T118" s="55" t="s">
        <v>49</v>
      </c>
      <c r="U118" s="139" t="s">
        <v>328</v>
      </c>
      <c r="V118" s="33"/>
      <c r="W118" s="147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</row>
    <row r="119" spans="1:34" s="18" customFormat="1" ht="24" customHeight="1" x14ac:dyDescent="0.25">
      <c r="A119" s="19">
        <v>3</v>
      </c>
      <c r="B119" s="20" t="s">
        <v>332</v>
      </c>
      <c r="C119" s="9"/>
      <c r="D119" s="19" t="s">
        <v>325</v>
      </c>
      <c r="E119" s="42" t="s">
        <v>333</v>
      </c>
      <c r="F119" s="156"/>
      <c r="G119" s="19"/>
      <c r="H119" s="22">
        <v>44211</v>
      </c>
      <c r="I119" s="22" t="s">
        <v>330</v>
      </c>
      <c r="J119" s="23">
        <v>1390000</v>
      </c>
      <c r="K119" s="23" t="s">
        <v>24</v>
      </c>
      <c r="L119" s="9"/>
      <c r="M119" s="23"/>
      <c r="N119" s="19" t="s">
        <v>31</v>
      </c>
      <c r="O119" s="32" t="s">
        <v>32</v>
      </c>
      <c r="P119" s="32" t="s">
        <v>27</v>
      </c>
      <c r="Q119" s="32"/>
      <c r="R119" s="32"/>
      <c r="S119" s="33"/>
      <c r="T119" s="55" t="s">
        <v>49</v>
      </c>
      <c r="U119" s="139"/>
      <c r="V119" s="33"/>
      <c r="W119" s="147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</row>
    <row r="120" spans="1:34" s="18" customFormat="1" ht="24" customHeight="1" x14ac:dyDescent="0.25">
      <c r="A120" s="19">
        <v>4</v>
      </c>
      <c r="B120" s="20" t="s">
        <v>332</v>
      </c>
      <c r="C120" s="9"/>
      <c r="D120" s="19" t="s">
        <v>325</v>
      </c>
      <c r="E120" s="42" t="s">
        <v>694</v>
      </c>
      <c r="F120" s="156"/>
      <c r="G120" s="19"/>
      <c r="H120" s="22">
        <v>44221</v>
      </c>
      <c r="I120" s="22" t="s">
        <v>330</v>
      </c>
      <c r="J120" s="23">
        <v>1390000</v>
      </c>
      <c r="K120" s="23" t="s">
        <v>24</v>
      </c>
      <c r="L120" s="9"/>
      <c r="M120" s="23"/>
      <c r="N120" s="19" t="s">
        <v>25</v>
      </c>
      <c r="O120" s="32" t="s">
        <v>26</v>
      </c>
      <c r="P120" s="32" t="s">
        <v>27</v>
      </c>
      <c r="Q120" s="32"/>
      <c r="R120" s="32"/>
      <c r="S120" s="33"/>
      <c r="T120" s="55" t="s">
        <v>49</v>
      </c>
      <c r="U120" s="139"/>
      <c r="V120" s="33"/>
      <c r="W120" s="147"/>
      <c r="X120" s="32"/>
      <c r="Y120" s="32"/>
      <c r="Z120" s="32"/>
      <c r="AA120" s="32"/>
      <c r="AB120" s="32"/>
      <c r="AC120" s="32"/>
      <c r="AD120" s="32"/>
      <c r="AE120" s="32"/>
      <c r="AF120" s="32"/>
      <c r="AG120" s="32"/>
      <c r="AH120" s="32"/>
    </row>
    <row r="121" spans="1:34" s="18" customFormat="1" ht="24" customHeight="1" x14ac:dyDescent="0.25">
      <c r="A121" s="19">
        <v>5</v>
      </c>
      <c r="B121" s="20" t="s">
        <v>334</v>
      </c>
      <c r="C121" s="24"/>
      <c r="D121" s="19" t="s">
        <v>325</v>
      </c>
      <c r="E121" s="42" t="s">
        <v>335</v>
      </c>
      <c r="F121" s="156"/>
      <c r="G121" s="19"/>
      <c r="H121" s="22">
        <v>44221</v>
      </c>
      <c r="I121" s="22" t="s">
        <v>330</v>
      </c>
      <c r="J121" s="23">
        <v>1799000</v>
      </c>
      <c r="K121" s="23" t="s">
        <v>257</v>
      </c>
      <c r="L121" s="9"/>
      <c r="M121" s="23"/>
      <c r="N121" s="19" t="s">
        <v>35</v>
      </c>
      <c r="O121" s="32" t="s">
        <v>331</v>
      </c>
      <c r="P121" s="32" t="s">
        <v>27</v>
      </c>
      <c r="Q121" s="32"/>
      <c r="R121" s="32"/>
      <c r="S121" s="33"/>
      <c r="T121" s="55" t="s">
        <v>49</v>
      </c>
      <c r="U121" s="139"/>
      <c r="V121" s="33"/>
      <c r="W121" s="147"/>
      <c r="X121" s="32"/>
      <c r="Y121" s="32"/>
      <c r="Z121" s="32"/>
      <c r="AA121" s="32"/>
      <c r="AB121" s="32"/>
      <c r="AC121" s="32"/>
      <c r="AD121" s="32"/>
      <c r="AE121" s="32"/>
      <c r="AF121" s="32"/>
      <c r="AG121" s="32"/>
      <c r="AH121" s="32"/>
    </row>
    <row r="122" spans="1:34" s="18" customFormat="1" ht="24" customHeight="1" x14ac:dyDescent="0.25">
      <c r="A122" s="19">
        <v>6</v>
      </c>
      <c r="B122" s="20" t="s">
        <v>693</v>
      </c>
      <c r="C122" s="24"/>
      <c r="D122" s="19" t="s">
        <v>325</v>
      </c>
      <c r="E122" s="42" t="s">
        <v>695</v>
      </c>
      <c r="F122" s="156"/>
      <c r="G122" s="19">
        <v>2026</v>
      </c>
      <c r="H122" s="22">
        <v>46164</v>
      </c>
      <c r="I122" s="22" t="s">
        <v>330</v>
      </c>
      <c r="J122" s="23">
        <v>1549000</v>
      </c>
      <c r="K122" s="23" t="s">
        <v>24</v>
      </c>
      <c r="L122" s="9"/>
      <c r="M122" s="23"/>
      <c r="N122" s="19" t="s">
        <v>669</v>
      </c>
      <c r="O122" s="32" t="s">
        <v>666</v>
      </c>
      <c r="P122" s="32" t="s">
        <v>27</v>
      </c>
      <c r="Q122" s="32"/>
      <c r="R122" s="32"/>
      <c r="S122" s="33"/>
      <c r="T122" s="157" t="s">
        <v>692</v>
      </c>
      <c r="U122" s="139"/>
      <c r="V122" s="33"/>
      <c r="W122" s="147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</row>
    <row r="123" spans="1:34" s="53" customFormat="1" ht="24" customHeight="1" x14ac:dyDescent="0.25">
      <c r="A123" s="10" t="s">
        <v>336</v>
      </c>
      <c r="B123" s="11" t="s">
        <v>337</v>
      </c>
      <c r="C123" s="12"/>
      <c r="D123" s="13"/>
      <c r="E123" s="14"/>
      <c r="F123" s="13"/>
      <c r="G123" s="13"/>
      <c r="H123" s="15"/>
      <c r="I123" s="15"/>
      <c r="J123" s="16"/>
      <c r="K123" s="16"/>
      <c r="L123" s="12"/>
      <c r="M123" s="16"/>
      <c r="N123" s="13"/>
      <c r="O123" s="39"/>
      <c r="P123" s="39"/>
      <c r="Q123" s="39"/>
      <c r="R123" s="39"/>
      <c r="S123" s="40"/>
      <c r="T123" s="158"/>
      <c r="U123" s="141"/>
      <c r="V123" s="40"/>
      <c r="W123" s="145"/>
      <c r="X123" s="39"/>
      <c r="Y123" s="39"/>
      <c r="Z123" s="39"/>
      <c r="AA123" s="39"/>
      <c r="AB123" s="39"/>
      <c r="AC123" s="39"/>
      <c r="AD123" s="39"/>
      <c r="AE123" s="39"/>
      <c r="AF123" s="39"/>
      <c r="AG123" s="39"/>
      <c r="AH123" s="39"/>
    </row>
    <row r="124" spans="1:34" s="18" customFormat="1" ht="63.6" customHeight="1" x14ac:dyDescent="0.25">
      <c r="A124" s="19">
        <v>1</v>
      </c>
      <c r="B124" s="20" t="s">
        <v>338</v>
      </c>
      <c r="C124" s="9"/>
      <c r="D124" s="19" t="s">
        <v>337</v>
      </c>
      <c r="E124" s="42" t="s">
        <v>339</v>
      </c>
      <c r="F124" s="156"/>
      <c r="G124" s="19"/>
      <c r="H124" s="22">
        <v>43868</v>
      </c>
      <c r="I124" s="22" t="s">
        <v>340</v>
      </c>
      <c r="J124" s="23">
        <v>4550000</v>
      </c>
      <c r="K124" s="23" t="s">
        <v>257</v>
      </c>
      <c r="L124" s="9"/>
      <c r="M124" s="23"/>
      <c r="N124" s="19" t="s">
        <v>341</v>
      </c>
      <c r="O124" s="32" t="s">
        <v>342</v>
      </c>
      <c r="P124" s="32" t="s">
        <v>27</v>
      </c>
      <c r="Q124" s="32"/>
      <c r="R124" s="32"/>
      <c r="S124" s="33"/>
      <c r="T124" s="55" t="s">
        <v>69</v>
      </c>
      <c r="U124" s="139"/>
      <c r="V124" s="33"/>
      <c r="W124" s="147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</row>
    <row r="125" spans="1:34" s="18" customFormat="1" ht="63" customHeight="1" x14ac:dyDescent="0.25">
      <c r="A125" s="19">
        <v>2</v>
      </c>
      <c r="B125" s="20" t="s">
        <v>338</v>
      </c>
      <c r="C125" s="9"/>
      <c r="D125" s="19" t="s">
        <v>337</v>
      </c>
      <c r="E125" s="42" t="s">
        <v>343</v>
      </c>
      <c r="F125" s="156"/>
      <c r="G125" s="19"/>
      <c r="H125" s="22">
        <v>42964</v>
      </c>
      <c r="I125" s="22" t="s">
        <v>340</v>
      </c>
      <c r="J125" s="23">
        <v>4190000</v>
      </c>
      <c r="K125" s="23" t="s">
        <v>257</v>
      </c>
      <c r="L125" s="9"/>
      <c r="M125" s="23"/>
      <c r="N125" s="19" t="s">
        <v>237</v>
      </c>
      <c r="O125" s="32" t="s">
        <v>344</v>
      </c>
      <c r="P125" s="32"/>
      <c r="Q125" s="32"/>
      <c r="R125" s="32"/>
      <c r="S125" s="33"/>
      <c r="T125" s="55" t="s">
        <v>69</v>
      </c>
      <c r="U125" s="139"/>
      <c r="V125" s="33"/>
      <c r="W125" s="147"/>
      <c r="X125" s="32"/>
      <c r="Y125" s="32"/>
      <c r="Z125" s="32"/>
      <c r="AA125" s="32"/>
      <c r="AB125" s="32"/>
      <c r="AC125" s="32"/>
      <c r="AD125" s="32"/>
      <c r="AE125" s="32"/>
      <c r="AF125" s="32"/>
      <c r="AG125" s="32"/>
      <c r="AH125" s="32"/>
    </row>
    <row r="126" spans="1:34" s="18" customFormat="1" ht="24" customHeight="1" x14ac:dyDescent="0.25">
      <c r="A126" s="19">
        <v>3</v>
      </c>
      <c r="B126" s="20" t="s">
        <v>345</v>
      </c>
      <c r="C126" s="9"/>
      <c r="D126" s="19" t="s">
        <v>337</v>
      </c>
      <c r="E126" s="42" t="s">
        <v>346</v>
      </c>
      <c r="F126" s="156"/>
      <c r="G126" s="19"/>
      <c r="H126" s="22">
        <v>42158</v>
      </c>
      <c r="I126" s="22" t="s">
        <v>347</v>
      </c>
      <c r="J126" s="23">
        <v>1250000</v>
      </c>
      <c r="K126" s="23" t="s">
        <v>24</v>
      </c>
      <c r="L126" s="9"/>
      <c r="M126" s="23"/>
      <c r="N126" s="19" t="s">
        <v>237</v>
      </c>
      <c r="O126" s="32" t="s">
        <v>344</v>
      </c>
      <c r="P126" s="32" t="s">
        <v>27</v>
      </c>
      <c r="Q126" s="32">
        <v>2025</v>
      </c>
      <c r="R126" s="35" t="s">
        <v>488</v>
      </c>
      <c r="S126" s="33"/>
      <c r="T126" s="55" t="s">
        <v>49</v>
      </c>
      <c r="U126" s="140" t="s">
        <v>440</v>
      </c>
      <c r="V126" s="33"/>
      <c r="W126" s="147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</row>
    <row r="127" spans="1:34" s="18" customFormat="1" ht="24" customHeight="1" x14ac:dyDescent="0.25">
      <c r="A127" s="19">
        <v>4</v>
      </c>
      <c r="B127" s="20" t="s">
        <v>348</v>
      </c>
      <c r="C127" s="9"/>
      <c r="D127" s="19" t="s">
        <v>337</v>
      </c>
      <c r="E127" s="42" t="s">
        <v>349</v>
      </c>
      <c r="F127" s="156"/>
      <c r="G127" s="19"/>
      <c r="H127" s="22">
        <v>41347</v>
      </c>
      <c r="I127" s="22" t="s">
        <v>347</v>
      </c>
      <c r="J127" s="23">
        <v>2184000</v>
      </c>
      <c r="K127" s="23" t="s">
        <v>24</v>
      </c>
      <c r="L127" s="9"/>
      <c r="M127" s="23"/>
      <c r="N127" s="19" t="s">
        <v>237</v>
      </c>
      <c r="O127" s="32" t="s">
        <v>344</v>
      </c>
      <c r="P127" s="32" t="s">
        <v>27</v>
      </c>
      <c r="Q127" s="32">
        <v>2025</v>
      </c>
      <c r="R127" s="35" t="s">
        <v>488</v>
      </c>
      <c r="S127" s="33"/>
      <c r="T127" s="55" t="s">
        <v>49</v>
      </c>
      <c r="U127" s="140" t="s">
        <v>440</v>
      </c>
      <c r="V127" s="33"/>
      <c r="W127" s="147"/>
      <c r="X127" s="32"/>
      <c r="Y127" s="32"/>
      <c r="Z127" s="32"/>
      <c r="AA127" s="32"/>
      <c r="AB127" s="32"/>
      <c r="AC127" s="32"/>
      <c r="AD127" s="32"/>
      <c r="AE127" s="32"/>
      <c r="AF127" s="32"/>
      <c r="AG127" s="32"/>
      <c r="AH127" s="32"/>
    </row>
    <row r="128" spans="1:34" s="18" customFormat="1" ht="129" customHeight="1" x14ac:dyDescent="0.25">
      <c r="A128" s="19">
        <v>5</v>
      </c>
      <c r="B128" s="20" t="s">
        <v>350</v>
      </c>
      <c r="C128" s="9"/>
      <c r="D128" s="19" t="s">
        <v>337</v>
      </c>
      <c r="E128" s="42" t="s">
        <v>351</v>
      </c>
      <c r="F128" s="156"/>
      <c r="G128" s="19"/>
      <c r="H128" s="22">
        <v>43160</v>
      </c>
      <c r="I128" s="22" t="s">
        <v>352</v>
      </c>
      <c r="J128" s="23">
        <v>4990000</v>
      </c>
      <c r="K128" s="23" t="s">
        <v>24</v>
      </c>
      <c r="L128" s="9"/>
      <c r="M128" s="23"/>
      <c r="N128" s="19" t="s">
        <v>237</v>
      </c>
      <c r="O128" s="32" t="s">
        <v>58</v>
      </c>
      <c r="P128" s="32" t="s">
        <v>27</v>
      </c>
      <c r="Q128" s="32">
        <v>2025</v>
      </c>
      <c r="R128" s="35" t="s">
        <v>488</v>
      </c>
      <c r="S128" s="33"/>
      <c r="T128" s="55" t="s">
        <v>353</v>
      </c>
      <c r="U128" s="140" t="s">
        <v>440</v>
      </c>
      <c r="V128" s="33"/>
      <c r="W128" s="147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</row>
    <row r="129" spans="1:34" s="18" customFormat="1" ht="129" customHeight="1" x14ac:dyDescent="0.25">
      <c r="A129" s="19">
        <v>6</v>
      </c>
      <c r="B129" s="20" t="s">
        <v>350</v>
      </c>
      <c r="C129" s="9"/>
      <c r="D129" s="19" t="s">
        <v>337</v>
      </c>
      <c r="E129" s="42" t="s">
        <v>351</v>
      </c>
      <c r="F129" s="156"/>
      <c r="G129" s="19"/>
      <c r="H129" s="22">
        <v>43160</v>
      </c>
      <c r="I129" s="22" t="s">
        <v>352</v>
      </c>
      <c r="J129" s="23">
        <v>4990000</v>
      </c>
      <c r="K129" s="23" t="s">
        <v>24</v>
      </c>
      <c r="L129" s="9"/>
      <c r="M129" s="23"/>
      <c r="N129" s="19" t="s">
        <v>237</v>
      </c>
      <c r="O129" s="32" t="s">
        <v>58</v>
      </c>
      <c r="P129" s="32" t="s">
        <v>27</v>
      </c>
      <c r="Q129" s="32">
        <v>2025</v>
      </c>
      <c r="R129" s="35" t="s">
        <v>488</v>
      </c>
      <c r="S129" s="33"/>
      <c r="T129" s="55" t="s">
        <v>353</v>
      </c>
      <c r="U129" s="140" t="s">
        <v>440</v>
      </c>
      <c r="V129" s="33"/>
      <c r="W129" s="147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</row>
    <row r="130" spans="1:34" s="18" customFormat="1" ht="129" customHeight="1" x14ac:dyDescent="0.25">
      <c r="A130" s="19">
        <v>7</v>
      </c>
      <c r="B130" s="20" t="s">
        <v>350</v>
      </c>
      <c r="C130" s="9"/>
      <c r="D130" s="19" t="s">
        <v>337</v>
      </c>
      <c r="E130" s="42" t="s">
        <v>351</v>
      </c>
      <c r="F130" s="156"/>
      <c r="G130" s="19"/>
      <c r="H130" s="22">
        <v>43160</v>
      </c>
      <c r="I130" s="22" t="s">
        <v>352</v>
      </c>
      <c r="J130" s="23">
        <v>4990000</v>
      </c>
      <c r="K130" s="23" t="s">
        <v>24</v>
      </c>
      <c r="L130" s="9"/>
      <c r="M130" s="23"/>
      <c r="N130" s="19" t="s">
        <v>237</v>
      </c>
      <c r="O130" s="32" t="s">
        <v>58</v>
      </c>
      <c r="P130" s="32" t="s">
        <v>27</v>
      </c>
      <c r="Q130" s="32">
        <v>2025</v>
      </c>
      <c r="R130" s="35" t="s">
        <v>488</v>
      </c>
      <c r="S130" s="33"/>
      <c r="T130" s="55" t="s">
        <v>353</v>
      </c>
      <c r="U130" s="140" t="s">
        <v>440</v>
      </c>
      <c r="V130" s="33"/>
      <c r="W130" s="147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</row>
    <row r="131" spans="1:34" s="18" customFormat="1" ht="129" customHeight="1" x14ac:dyDescent="0.25">
      <c r="A131" s="19">
        <v>8</v>
      </c>
      <c r="B131" s="20" t="s">
        <v>350</v>
      </c>
      <c r="C131" s="9"/>
      <c r="D131" s="19" t="s">
        <v>337</v>
      </c>
      <c r="E131" s="42" t="s">
        <v>351</v>
      </c>
      <c r="F131" s="156"/>
      <c r="G131" s="19"/>
      <c r="H131" s="22">
        <v>43160</v>
      </c>
      <c r="I131" s="22" t="s">
        <v>352</v>
      </c>
      <c r="J131" s="23">
        <v>4990000</v>
      </c>
      <c r="K131" s="23" t="s">
        <v>24</v>
      </c>
      <c r="L131" s="9"/>
      <c r="M131" s="23"/>
      <c r="N131" s="19" t="s">
        <v>237</v>
      </c>
      <c r="O131" s="32" t="s">
        <v>58</v>
      </c>
      <c r="P131" s="32" t="s">
        <v>27</v>
      </c>
      <c r="Q131" s="32">
        <v>2025</v>
      </c>
      <c r="R131" s="35" t="s">
        <v>488</v>
      </c>
      <c r="S131" s="33"/>
      <c r="T131" s="55" t="s">
        <v>353</v>
      </c>
      <c r="U131" s="140" t="s">
        <v>440</v>
      </c>
      <c r="V131" s="33"/>
      <c r="W131" s="147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</row>
    <row r="132" spans="1:34" s="18" customFormat="1" ht="129" customHeight="1" x14ac:dyDescent="0.25">
      <c r="A132" s="19">
        <v>9</v>
      </c>
      <c r="B132" s="20" t="s">
        <v>350</v>
      </c>
      <c r="C132" s="9"/>
      <c r="D132" s="19" t="s">
        <v>337</v>
      </c>
      <c r="E132" s="42" t="s">
        <v>351</v>
      </c>
      <c r="F132" s="156"/>
      <c r="G132" s="19"/>
      <c r="H132" s="22">
        <v>43160</v>
      </c>
      <c r="I132" s="22" t="s">
        <v>352</v>
      </c>
      <c r="J132" s="23">
        <v>4990000</v>
      </c>
      <c r="K132" s="23" t="s">
        <v>24</v>
      </c>
      <c r="L132" s="9"/>
      <c r="M132" s="23"/>
      <c r="N132" s="19" t="s">
        <v>237</v>
      </c>
      <c r="O132" s="32" t="s">
        <v>58</v>
      </c>
      <c r="P132" s="32" t="s">
        <v>27</v>
      </c>
      <c r="Q132" s="32">
        <v>2025</v>
      </c>
      <c r="R132" s="35" t="s">
        <v>488</v>
      </c>
      <c r="S132" s="33"/>
      <c r="T132" s="55" t="s">
        <v>353</v>
      </c>
      <c r="U132" s="140" t="s">
        <v>440</v>
      </c>
      <c r="V132" s="33"/>
      <c r="W132" s="147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</row>
    <row r="133" spans="1:34" s="18" customFormat="1" ht="40.9" customHeight="1" x14ac:dyDescent="0.25">
      <c r="A133" s="19">
        <v>10</v>
      </c>
      <c r="B133" s="20" t="s">
        <v>354</v>
      </c>
      <c r="C133" s="9"/>
      <c r="D133" s="19" t="s">
        <v>337</v>
      </c>
      <c r="E133" s="42" t="s">
        <v>355</v>
      </c>
      <c r="F133" s="156"/>
      <c r="G133" s="19"/>
      <c r="H133" s="22">
        <v>43160</v>
      </c>
      <c r="I133" s="22" t="s">
        <v>356</v>
      </c>
      <c r="J133" s="23">
        <v>1990000</v>
      </c>
      <c r="K133" s="23" t="s">
        <v>24</v>
      </c>
      <c r="L133" s="9"/>
      <c r="M133" s="23"/>
      <c r="N133" s="19" t="s">
        <v>237</v>
      </c>
      <c r="O133" s="32" t="s">
        <v>58</v>
      </c>
      <c r="P133" s="32" t="s">
        <v>27</v>
      </c>
      <c r="Q133" s="32">
        <v>2025</v>
      </c>
      <c r="R133" s="35" t="s">
        <v>488</v>
      </c>
      <c r="S133" s="33"/>
      <c r="T133" s="55" t="s">
        <v>353</v>
      </c>
      <c r="U133" s="140" t="s">
        <v>440</v>
      </c>
      <c r="V133" s="33"/>
      <c r="W133" s="147"/>
      <c r="X133" s="32"/>
      <c r="Y133" s="32"/>
      <c r="Z133" s="32"/>
      <c r="AA133" s="32"/>
      <c r="AB133" s="32"/>
      <c r="AC133" s="32"/>
      <c r="AD133" s="32"/>
      <c r="AE133" s="32"/>
      <c r="AF133" s="32"/>
      <c r="AG133" s="32"/>
      <c r="AH133" s="32"/>
    </row>
    <row r="134" spans="1:34" s="18" customFormat="1" ht="40.9" customHeight="1" x14ac:dyDescent="0.25">
      <c r="A134" s="19">
        <v>11</v>
      </c>
      <c r="B134" s="20" t="s">
        <v>354</v>
      </c>
      <c r="C134" s="9"/>
      <c r="D134" s="19" t="s">
        <v>337</v>
      </c>
      <c r="E134" s="42" t="s">
        <v>355</v>
      </c>
      <c r="F134" s="156"/>
      <c r="G134" s="19"/>
      <c r="H134" s="22">
        <v>43160</v>
      </c>
      <c r="I134" s="22" t="s">
        <v>356</v>
      </c>
      <c r="J134" s="23">
        <v>1990000</v>
      </c>
      <c r="K134" s="23" t="s">
        <v>24</v>
      </c>
      <c r="L134" s="9"/>
      <c r="M134" s="23"/>
      <c r="N134" s="19" t="s">
        <v>237</v>
      </c>
      <c r="O134" s="32" t="s">
        <v>58</v>
      </c>
      <c r="P134" s="32" t="s">
        <v>27</v>
      </c>
      <c r="Q134" s="32">
        <v>2025</v>
      </c>
      <c r="R134" s="35" t="s">
        <v>488</v>
      </c>
      <c r="S134" s="33"/>
      <c r="T134" s="55" t="s">
        <v>353</v>
      </c>
      <c r="U134" s="140" t="s">
        <v>440</v>
      </c>
      <c r="V134" s="33"/>
      <c r="W134" s="147"/>
      <c r="X134" s="32"/>
      <c r="Y134" s="32"/>
      <c r="Z134" s="32"/>
      <c r="AA134" s="32"/>
      <c r="AB134" s="32"/>
      <c r="AC134" s="32"/>
      <c r="AD134" s="32"/>
      <c r="AE134" s="32"/>
      <c r="AF134" s="32"/>
      <c r="AG134" s="32"/>
      <c r="AH134" s="32"/>
    </row>
    <row r="135" spans="1:34" s="18" customFormat="1" ht="40.9" customHeight="1" x14ac:dyDescent="0.25">
      <c r="A135" s="19">
        <v>12</v>
      </c>
      <c r="B135" s="20" t="s">
        <v>354</v>
      </c>
      <c r="C135" s="9"/>
      <c r="D135" s="19" t="s">
        <v>337</v>
      </c>
      <c r="E135" s="42" t="s">
        <v>355</v>
      </c>
      <c r="F135" s="156"/>
      <c r="G135" s="19"/>
      <c r="H135" s="22">
        <v>43160</v>
      </c>
      <c r="I135" s="22" t="s">
        <v>356</v>
      </c>
      <c r="J135" s="23">
        <v>1990000</v>
      </c>
      <c r="K135" s="23" t="s">
        <v>24</v>
      </c>
      <c r="L135" s="9"/>
      <c r="M135" s="23"/>
      <c r="N135" s="19" t="s">
        <v>237</v>
      </c>
      <c r="O135" s="32" t="s">
        <v>58</v>
      </c>
      <c r="P135" s="32" t="s">
        <v>27</v>
      </c>
      <c r="Q135" s="32">
        <v>2025</v>
      </c>
      <c r="R135" s="35" t="s">
        <v>488</v>
      </c>
      <c r="S135" s="33"/>
      <c r="T135" s="55" t="s">
        <v>353</v>
      </c>
      <c r="U135" s="140" t="s">
        <v>440</v>
      </c>
      <c r="V135" s="33"/>
      <c r="W135" s="147"/>
      <c r="X135" s="32"/>
      <c r="Y135" s="32"/>
      <c r="Z135" s="32"/>
      <c r="AA135" s="32"/>
      <c r="AB135" s="32"/>
      <c r="AC135" s="32"/>
      <c r="AD135" s="32"/>
      <c r="AE135" s="32"/>
      <c r="AF135" s="32"/>
      <c r="AG135" s="32"/>
      <c r="AH135" s="32"/>
    </row>
    <row r="136" spans="1:34" s="18" customFormat="1" ht="40.9" customHeight="1" x14ac:dyDescent="0.25">
      <c r="A136" s="19">
        <v>13</v>
      </c>
      <c r="B136" s="20" t="s">
        <v>354</v>
      </c>
      <c r="C136" s="9"/>
      <c r="D136" s="19" t="s">
        <v>337</v>
      </c>
      <c r="E136" s="42" t="s">
        <v>355</v>
      </c>
      <c r="F136" s="156"/>
      <c r="G136" s="19"/>
      <c r="H136" s="22">
        <v>43160</v>
      </c>
      <c r="I136" s="22" t="s">
        <v>356</v>
      </c>
      <c r="J136" s="23">
        <v>1990000</v>
      </c>
      <c r="K136" s="23" t="s">
        <v>24</v>
      </c>
      <c r="L136" s="9"/>
      <c r="M136" s="23"/>
      <c r="N136" s="19" t="s">
        <v>237</v>
      </c>
      <c r="O136" s="32" t="s">
        <v>58</v>
      </c>
      <c r="P136" s="32" t="s">
        <v>27</v>
      </c>
      <c r="Q136" s="32">
        <v>2025</v>
      </c>
      <c r="R136" s="35" t="s">
        <v>488</v>
      </c>
      <c r="S136" s="33"/>
      <c r="T136" s="55" t="s">
        <v>353</v>
      </c>
      <c r="U136" s="140" t="s">
        <v>440</v>
      </c>
      <c r="V136" s="33"/>
      <c r="W136" s="147"/>
      <c r="X136" s="32"/>
      <c r="Y136" s="32"/>
      <c r="Z136" s="32"/>
      <c r="AA136" s="32"/>
      <c r="AB136" s="32"/>
      <c r="AC136" s="32"/>
      <c r="AD136" s="32"/>
      <c r="AE136" s="32"/>
      <c r="AF136" s="32"/>
      <c r="AG136" s="32"/>
      <c r="AH136" s="32"/>
    </row>
    <row r="137" spans="1:34" s="18" customFormat="1" ht="40.9" customHeight="1" x14ac:dyDescent="0.25">
      <c r="A137" s="19">
        <v>14</v>
      </c>
      <c r="B137" s="20" t="s">
        <v>357</v>
      </c>
      <c r="C137" s="24"/>
      <c r="D137" s="19" t="s">
        <v>337</v>
      </c>
      <c r="E137" s="56" t="s">
        <v>358</v>
      </c>
      <c r="F137" s="167"/>
      <c r="G137" s="19"/>
      <c r="H137" s="22">
        <v>44294</v>
      </c>
      <c r="I137" s="22" t="s">
        <v>359</v>
      </c>
      <c r="J137" s="23">
        <v>2959000</v>
      </c>
      <c r="K137" s="23" t="s">
        <v>24</v>
      </c>
      <c r="L137" s="9"/>
      <c r="M137" s="23"/>
      <c r="N137" s="19" t="s">
        <v>237</v>
      </c>
      <c r="O137" s="32" t="s">
        <v>58</v>
      </c>
      <c r="P137" s="32" t="s">
        <v>27</v>
      </c>
      <c r="Q137" s="32"/>
      <c r="R137" s="32"/>
      <c r="S137" s="33"/>
      <c r="T137" s="55" t="s">
        <v>353</v>
      </c>
      <c r="U137" s="140"/>
      <c r="V137" s="33"/>
      <c r="W137" s="147"/>
      <c r="X137" s="32"/>
      <c r="Y137" s="32"/>
      <c r="Z137" s="32"/>
      <c r="AA137" s="32"/>
      <c r="AB137" s="32"/>
      <c r="AC137" s="32"/>
      <c r="AD137" s="32"/>
      <c r="AE137" s="32"/>
      <c r="AF137" s="32"/>
      <c r="AG137" s="32"/>
      <c r="AH137" s="32"/>
    </row>
    <row r="138" spans="1:34" s="18" customFormat="1" ht="40.9" customHeight="1" x14ac:dyDescent="0.25">
      <c r="A138" s="19">
        <v>15</v>
      </c>
      <c r="B138" s="20" t="s">
        <v>659</v>
      </c>
      <c r="C138" s="24"/>
      <c r="D138" s="19" t="s">
        <v>337</v>
      </c>
      <c r="E138" s="56" t="s">
        <v>660</v>
      </c>
      <c r="F138" s="167"/>
      <c r="G138" s="19"/>
      <c r="H138" s="22">
        <v>46097</v>
      </c>
      <c r="I138" s="22" t="s">
        <v>356</v>
      </c>
      <c r="J138" s="23">
        <v>5790000</v>
      </c>
      <c r="K138" s="23" t="s">
        <v>257</v>
      </c>
      <c r="L138" s="9"/>
      <c r="M138" s="23"/>
      <c r="N138" s="19" t="s">
        <v>661</v>
      </c>
      <c r="O138" s="32" t="s">
        <v>58</v>
      </c>
      <c r="P138" s="32" t="s">
        <v>27</v>
      </c>
      <c r="Q138" s="32">
        <v>2026</v>
      </c>
      <c r="R138" s="32" t="s">
        <v>487</v>
      </c>
      <c r="S138" s="33"/>
      <c r="T138" s="157" t="s">
        <v>692</v>
      </c>
      <c r="U138" s="140"/>
      <c r="V138" s="33"/>
      <c r="W138" s="147"/>
      <c r="X138" s="32"/>
      <c r="Y138" s="32"/>
      <c r="Z138" s="32"/>
      <c r="AA138" s="32"/>
      <c r="AB138" s="32"/>
      <c r="AC138" s="32"/>
      <c r="AD138" s="32"/>
      <c r="AE138" s="32"/>
      <c r="AF138" s="32"/>
      <c r="AG138" s="32"/>
      <c r="AH138" s="32"/>
    </row>
    <row r="139" spans="1:34" s="18" customFormat="1" ht="40.9" customHeight="1" x14ac:dyDescent="0.25">
      <c r="A139" s="19">
        <v>16</v>
      </c>
      <c r="B139" s="20" t="s">
        <v>662</v>
      </c>
      <c r="C139" s="24"/>
      <c r="D139" s="19" t="s">
        <v>337</v>
      </c>
      <c r="E139" s="56" t="s">
        <v>663</v>
      </c>
      <c r="F139" s="167"/>
      <c r="G139" s="19"/>
      <c r="H139" s="22">
        <v>46097</v>
      </c>
      <c r="I139" s="22" t="s">
        <v>356</v>
      </c>
      <c r="J139" s="23">
        <v>5599000</v>
      </c>
      <c r="K139" s="23" t="s">
        <v>257</v>
      </c>
      <c r="L139" s="9"/>
      <c r="M139" s="23"/>
      <c r="N139" s="19" t="s">
        <v>661</v>
      </c>
      <c r="O139" s="32" t="s">
        <v>58</v>
      </c>
      <c r="P139" s="32" t="s">
        <v>27</v>
      </c>
      <c r="Q139" s="32">
        <v>2026</v>
      </c>
      <c r="R139" s="32" t="s">
        <v>487</v>
      </c>
      <c r="S139" s="33"/>
      <c r="T139" s="157" t="s">
        <v>692</v>
      </c>
      <c r="U139" s="140"/>
      <c r="V139" s="33"/>
      <c r="W139" s="147"/>
      <c r="X139" s="32"/>
      <c r="Y139" s="32"/>
      <c r="Z139" s="32"/>
      <c r="AA139" s="32"/>
      <c r="AB139" s="32"/>
      <c r="AC139" s="32"/>
      <c r="AD139" s="32"/>
      <c r="AE139" s="32"/>
      <c r="AF139" s="32"/>
      <c r="AG139" s="32"/>
      <c r="AH139" s="32"/>
    </row>
    <row r="140" spans="1:34" s="53" customFormat="1" ht="24" customHeight="1" x14ac:dyDescent="0.25">
      <c r="A140" s="10" t="s">
        <v>360</v>
      </c>
      <c r="B140" s="11" t="s">
        <v>361</v>
      </c>
      <c r="C140" s="12"/>
      <c r="D140" s="13"/>
      <c r="E140" s="14"/>
      <c r="F140" s="13"/>
      <c r="G140" s="13"/>
      <c r="H140" s="15"/>
      <c r="I140" s="15"/>
      <c r="J140" s="16"/>
      <c r="K140" s="16"/>
      <c r="L140" s="12"/>
      <c r="M140" s="16"/>
      <c r="N140" s="13"/>
      <c r="O140" s="39"/>
      <c r="P140" s="39"/>
      <c r="Q140" s="39"/>
      <c r="R140" s="39"/>
      <c r="S140" s="40"/>
      <c r="T140" s="158"/>
      <c r="U140" s="141"/>
      <c r="V140" s="40"/>
      <c r="W140" s="145"/>
      <c r="X140" s="39"/>
      <c r="Y140" s="39"/>
      <c r="Z140" s="39"/>
      <c r="AA140" s="39"/>
      <c r="AB140" s="39"/>
      <c r="AC140" s="39"/>
      <c r="AD140" s="39"/>
      <c r="AE140" s="39"/>
      <c r="AF140" s="39"/>
      <c r="AG140" s="39"/>
      <c r="AH140" s="39"/>
    </row>
    <row r="141" spans="1:34" s="18" customFormat="1" ht="24" customHeight="1" x14ac:dyDescent="0.25">
      <c r="A141" s="19">
        <v>1</v>
      </c>
      <c r="B141" s="20" t="s">
        <v>362</v>
      </c>
      <c r="C141" s="9"/>
      <c r="D141" s="19" t="s">
        <v>361</v>
      </c>
      <c r="E141" s="54" t="s">
        <v>363</v>
      </c>
      <c r="F141" s="156"/>
      <c r="G141" s="19"/>
      <c r="H141" s="22">
        <v>43249</v>
      </c>
      <c r="I141" s="22" t="s">
        <v>272</v>
      </c>
      <c r="J141" s="23">
        <v>1590000</v>
      </c>
      <c r="K141" s="23" t="s">
        <v>24</v>
      </c>
      <c r="L141" s="9"/>
      <c r="M141" s="23"/>
      <c r="N141" s="19" t="s">
        <v>167</v>
      </c>
      <c r="O141" s="32" t="s">
        <v>83</v>
      </c>
      <c r="P141" s="32" t="s">
        <v>27</v>
      </c>
      <c r="Q141" s="32"/>
      <c r="R141" s="32"/>
      <c r="S141" s="33"/>
      <c r="T141" s="55" t="s">
        <v>115</v>
      </c>
      <c r="U141" s="139"/>
      <c r="V141" s="33"/>
      <c r="W141" s="147"/>
      <c r="X141" s="32"/>
      <c r="Y141" s="32"/>
      <c r="Z141" s="32"/>
      <c r="AA141" s="32"/>
      <c r="AB141" s="32"/>
      <c r="AC141" s="32"/>
      <c r="AD141" s="32"/>
      <c r="AE141" s="32"/>
      <c r="AF141" s="32"/>
      <c r="AG141" s="32"/>
      <c r="AH141" s="32"/>
    </row>
    <row r="142" spans="1:34" s="18" customFormat="1" ht="24" customHeight="1" x14ac:dyDescent="0.25">
      <c r="A142" s="19">
        <v>2</v>
      </c>
      <c r="B142" s="20" t="s">
        <v>362</v>
      </c>
      <c r="C142" s="9"/>
      <c r="D142" s="19" t="s">
        <v>361</v>
      </c>
      <c r="E142" s="54" t="s">
        <v>363</v>
      </c>
      <c r="F142" s="156"/>
      <c r="G142" s="19"/>
      <c r="H142" s="22">
        <v>43249</v>
      </c>
      <c r="I142" s="22" t="s">
        <v>272</v>
      </c>
      <c r="J142" s="23">
        <v>1590000</v>
      </c>
      <c r="K142" s="23" t="s">
        <v>24</v>
      </c>
      <c r="L142" s="9"/>
      <c r="M142" s="23"/>
      <c r="N142" s="19" t="s">
        <v>167</v>
      </c>
      <c r="O142" s="32" t="s">
        <v>181</v>
      </c>
      <c r="P142" s="32" t="s">
        <v>27</v>
      </c>
      <c r="Q142" s="32"/>
      <c r="R142" s="32"/>
      <c r="S142" s="33"/>
      <c r="T142" s="55" t="s">
        <v>115</v>
      </c>
      <c r="U142" s="139"/>
      <c r="V142" s="33"/>
      <c r="W142" s="147"/>
      <c r="X142" s="32"/>
      <c r="Y142" s="32"/>
      <c r="Z142" s="32"/>
      <c r="AA142" s="32"/>
      <c r="AB142" s="32"/>
      <c r="AC142" s="32"/>
      <c r="AD142" s="32"/>
      <c r="AE142" s="32"/>
      <c r="AF142" s="32"/>
      <c r="AG142" s="32"/>
      <c r="AH142" s="32"/>
    </row>
    <row r="143" spans="1:34" s="18" customFormat="1" ht="24" customHeight="1" x14ac:dyDescent="0.25">
      <c r="A143" s="19">
        <v>3</v>
      </c>
      <c r="B143" s="20" t="s">
        <v>362</v>
      </c>
      <c r="C143" s="9"/>
      <c r="D143" s="19" t="s">
        <v>361</v>
      </c>
      <c r="E143" s="54" t="s">
        <v>363</v>
      </c>
      <c r="F143" s="156"/>
      <c r="G143" s="19"/>
      <c r="H143" s="22">
        <v>43249</v>
      </c>
      <c r="I143" s="22" t="s">
        <v>272</v>
      </c>
      <c r="J143" s="23">
        <v>1590000</v>
      </c>
      <c r="K143" s="23" t="s">
        <v>24</v>
      </c>
      <c r="L143" s="9"/>
      <c r="M143" s="23"/>
      <c r="N143" s="19" t="s">
        <v>310</v>
      </c>
      <c r="O143" s="32" t="s">
        <v>200</v>
      </c>
      <c r="P143" s="32" t="s">
        <v>27</v>
      </c>
      <c r="Q143" s="32"/>
      <c r="R143" s="32"/>
      <c r="S143" s="33"/>
      <c r="T143" s="55" t="s">
        <v>115</v>
      </c>
      <c r="U143" s="139"/>
      <c r="V143" s="33"/>
      <c r="W143" s="147"/>
      <c r="X143" s="32"/>
      <c r="Y143" s="32"/>
      <c r="Z143" s="32"/>
      <c r="AA143" s="32"/>
      <c r="AB143" s="32"/>
      <c r="AC143" s="32"/>
      <c r="AD143" s="32"/>
      <c r="AE143" s="32"/>
      <c r="AF143" s="32"/>
      <c r="AG143" s="32"/>
      <c r="AH143" s="32"/>
    </row>
    <row r="144" spans="1:34" s="18" customFormat="1" ht="24" customHeight="1" x14ac:dyDescent="0.25">
      <c r="A144" s="19">
        <v>4</v>
      </c>
      <c r="B144" s="20" t="s">
        <v>362</v>
      </c>
      <c r="C144" s="9"/>
      <c r="D144" s="19" t="s">
        <v>361</v>
      </c>
      <c r="E144" s="54" t="s">
        <v>363</v>
      </c>
      <c r="F144" s="156"/>
      <c r="G144" s="19"/>
      <c r="H144" s="22">
        <v>43249</v>
      </c>
      <c r="I144" s="22" t="s">
        <v>272</v>
      </c>
      <c r="J144" s="23">
        <v>1590000</v>
      </c>
      <c r="K144" s="23" t="s">
        <v>24</v>
      </c>
      <c r="L144" s="9"/>
      <c r="M144" s="23"/>
      <c r="N144" s="19" t="s">
        <v>433</v>
      </c>
      <c r="O144" s="32" t="s">
        <v>198</v>
      </c>
      <c r="P144" s="32" t="s">
        <v>27</v>
      </c>
      <c r="Q144" s="32"/>
      <c r="R144" s="32"/>
      <c r="S144" s="33"/>
      <c r="T144" s="55" t="s">
        <v>115</v>
      </c>
      <c r="U144" s="139"/>
      <c r="V144" s="33"/>
      <c r="W144" s="147"/>
      <c r="X144" s="32"/>
      <c r="Y144" s="32"/>
      <c r="Z144" s="32"/>
      <c r="AA144" s="32"/>
      <c r="AB144" s="32"/>
      <c r="AC144" s="32"/>
      <c r="AD144" s="32"/>
      <c r="AE144" s="32"/>
      <c r="AF144" s="32"/>
      <c r="AG144" s="32"/>
      <c r="AH144" s="32"/>
    </row>
    <row r="145" spans="1:34" s="18" customFormat="1" ht="24" customHeight="1" x14ac:dyDescent="0.25">
      <c r="A145" s="19">
        <v>5</v>
      </c>
      <c r="B145" s="20" t="s">
        <v>362</v>
      </c>
      <c r="C145" s="9"/>
      <c r="D145" s="19" t="s">
        <v>361</v>
      </c>
      <c r="E145" s="54" t="s">
        <v>363</v>
      </c>
      <c r="F145" s="156"/>
      <c r="G145" s="19"/>
      <c r="H145" s="22">
        <v>43249</v>
      </c>
      <c r="I145" s="22" t="s">
        <v>272</v>
      </c>
      <c r="J145" s="23">
        <v>1590000</v>
      </c>
      <c r="K145" s="23" t="s">
        <v>24</v>
      </c>
      <c r="L145" s="9"/>
      <c r="M145" s="23"/>
      <c r="N145" s="19" t="s">
        <v>434</v>
      </c>
      <c r="O145" s="32" t="s">
        <v>78</v>
      </c>
      <c r="P145" s="32" t="s">
        <v>27</v>
      </c>
      <c r="Q145" s="32"/>
      <c r="R145" s="32"/>
      <c r="S145" s="33"/>
      <c r="T145" s="55" t="s">
        <v>115</v>
      </c>
      <c r="U145" s="139"/>
      <c r="V145" s="33"/>
      <c r="W145" s="147"/>
      <c r="X145" s="32"/>
      <c r="Y145" s="32"/>
      <c r="Z145" s="32"/>
      <c r="AA145" s="32"/>
      <c r="AB145" s="32"/>
      <c r="AC145" s="32"/>
      <c r="AD145" s="32"/>
      <c r="AE145" s="32"/>
      <c r="AF145" s="32"/>
      <c r="AG145" s="32"/>
      <c r="AH145" s="32"/>
    </row>
    <row r="146" spans="1:34" s="18" customFormat="1" ht="24" customHeight="1" x14ac:dyDescent="0.25">
      <c r="A146" s="19">
        <v>6</v>
      </c>
      <c r="B146" s="20" t="s">
        <v>362</v>
      </c>
      <c r="C146" s="9"/>
      <c r="D146" s="19" t="s">
        <v>361</v>
      </c>
      <c r="E146" s="54" t="s">
        <v>363</v>
      </c>
      <c r="F146" s="156"/>
      <c r="G146" s="19"/>
      <c r="H146" s="22">
        <v>43249</v>
      </c>
      <c r="I146" s="22" t="s">
        <v>272</v>
      </c>
      <c r="J146" s="23">
        <v>1590000</v>
      </c>
      <c r="K146" s="23" t="s">
        <v>24</v>
      </c>
      <c r="L146" s="9"/>
      <c r="M146" s="23"/>
      <c r="N146" s="19" t="s">
        <v>433</v>
      </c>
      <c r="O146" s="32" t="s">
        <v>161</v>
      </c>
      <c r="P146" s="32" t="s">
        <v>27</v>
      </c>
      <c r="Q146" s="32"/>
      <c r="R146" s="32"/>
      <c r="S146" s="33"/>
      <c r="T146" s="55" t="s">
        <v>115</v>
      </c>
      <c r="U146" s="139"/>
      <c r="V146" s="33"/>
      <c r="W146" s="147"/>
      <c r="X146" s="32"/>
      <c r="Y146" s="32"/>
      <c r="Z146" s="32"/>
      <c r="AA146" s="32"/>
      <c r="AB146" s="32"/>
      <c r="AC146" s="32"/>
      <c r="AD146" s="32"/>
      <c r="AE146" s="32"/>
      <c r="AF146" s="32"/>
      <c r="AG146" s="32"/>
      <c r="AH146" s="32"/>
    </row>
    <row r="147" spans="1:34" s="18" customFormat="1" ht="24" x14ac:dyDescent="0.25">
      <c r="A147" s="19">
        <v>7</v>
      </c>
      <c r="B147" s="20" t="s">
        <v>364</v>
      </c>
      <c r="C147" s="9"/>
      <c r="D147" s="19" t="s">
        <v>365</v>
      </c>
      <c r="E147" s="42" t="s">
        <v>366</v>
      </c>
      <c r="F147" s="156"/>
      <c r="G147" s="19"/>
      <c r="H147" s="22">
        <v>43014</v>
      </c>
      <c r="I147" s="22" t="s">
        <v>272</v>
      </c>
      <c r="J147" s="23">
        <v>8250000</v>
      </c>
      <c r="K147" s="23" t="s">
        <v>24</v>
      </c>
      <c r="L147" s="9"/>
      <c r="M147" s="23"/>
      <c r="N147" s="19" t="s">
        <v>237</v>
      </c>
      <c r="O147" s="32" t="s">
        <v>58</v>
      </c>
      <c r="P147" s="32" t="s">
        <v>27</v>
      </c>
      <c r="Q147" s="32"/>
      <c r="R147" s="32"/>
      <c r="S147" s="33"/>
      <c r="T147" s="55" t="s">
        <v>367</v>
      </c>
      <c r="U147" s="139"/>
      <c r="V147" s="33"/>
      <c r="W147" s="147"/>
      <c r="X147" s="32"/>
      <c r="Y147" s="32"/>
      <c r="Z147" s="32"/>
      <c r="AA147" s="32"/>
      <c r="AB147" s="32"/>
      <c r="AC147" s="32"/>
      <c r="AD147" s="32"/>
      <c r="AE147" s="32"/>
      <c r="AF147" s="32"/>
      <c r="AG147" s="32"/>
      <c r="AH147" s="32"/>
    </row>
    <row r="148" spans="1:34" s="18" customFormat="1" ht="93" customHeight="1" x14ac:dyDescent="0.25">
      <c r="A148" s="19">
        <v>8</v>
      </c>
      <c r="B148" s="20" t="s">
        <v>368</v>
      </c>
      <c r="C148" s="9"/>
      <c r="D148" s="19" t="s">
        <v>365</v>
      </c>
      <c r="E148" s="42" t="s">
        <v>369</v>
      </c>
      <c r="F148" s="156"/>
      <c r="G148" s="19"/>
      <c r="H148" s="22">
        <v>43891</v>
      </c>
      <c r="I148" s="22" t="s">
        <v>370</v>
      </c>
      <c r="J148" s="23">
        <v>5313000</v>
      </c>
      <c r="K148" s="23" t="s">
        <v>24</v>
      </c>
      <c r="L148" s="9"/>
      <c r="M148" s="23"/>
      <c r="N148" s="19" t="s">
        <v>237</v>
      </c>
      <c r="O148" s="32" t="s">
        <v>58</v>
      </c>
      <c r="P148" s="32" t="s">
        <v>27</v>
      </c>
      <c r="Q148" s="32"/>
      <c r="R148" s="32"/>
      <c r="S148" s="33"/>
      <c r="T148" s="55" t="s">
        <v>353</v>
      </c>
      <c r="U148" s="139"/>
      <c r="V148" s="33"/>
      <c r="W148" s="147"/>
      <c r="X148" s="32"/>
      <c r="Y148" s="32"/>
      <c r="Z148" s="32"/>
      <c r="AA148" s="32"/>
      <c r="AB148" s="32"/>
      <c r="AC148" s="32"/>
      <c r="AD148" s="32"/>
      <c r="AE148" s="32"/>
      <c r="AF148" s="32"/>
      <c r="AG148" s="32"/>
      <c r="AH148" s="32"/>
    </row>
    <row r="149" spans="1:34" s="18" customFormat="1" ht="24" customHeight="1" x14ac:dyDescent="0.25">
      <c r="A149" s="19">
        <v>9</v>
      </c>
      <c r="B149" s="20" t="s">
        <v>362</v>
      </c>
      <c r="C149" s="9"/>
      <c r="D149" s="19" t="s">
        <v>361</v>
      </c>
      <c r="E149" s="54" t="s">
        <v>363</v>
      </c>
      <c r="F149" s="156"/>
      <c r="G149" s="19"/>
      <c r="H149" s="22">
        <v>43908</v>
      </c>
      <c r="I149" s="22" t="s">
        <v>272</v>
      </c>
      <c r="J149" s="23">
        <v>1450000</v>
      </c>
      <c r="K149" s="23" t="s">
        <v>24</v>
      </c>
      <c r="L149" s="9"/>
      <c r="M149" s="23"/>
      <c r="N149" s="19" t="s">
        <v>433</v>
      </c>
      <c r="O149" s="19" t="s">
        <v>433</v>
      </c>
      <c r="P149" s="32" t="s">
        <v>27</v>
      </c>
      <c r="Q149" s="32"/>
      <c r="R149" s="32"/>
      <c r="S149" s="33"/>
      <c r="T149" s="55" t="s">
        <v>115</v>
      </c>
      <c r="U149" s="139"/>
      <c r="V149" s="33"/>
      <c r="W149" s="147"/>
      <c r="X149" s="32"/>
      <c r="Y149" s="32"/>
      <c r="Z149" s="32"/>
      <c r="AA149" s="32"/>
      <c r="AB149" s="32"/>
      <c r="AC149" s="32"/>
      <c r="AD149" s="32"/>
      <c r="AE149" s="32"/>
      <c r="AF149" s="32"/>
      <c r="AG149" s="32"/>
      <c r="AH149" s="32"/>
    </row>
    <row r="150" spans="1:34" s="53" customFormat="1" ht="24" customHeight="1" x14ac:dyDescent="0.25">
      <c r="A150" s="10" t="s">
        <v>371</v>
      </c>
      <c r="B150" s="11" t="s">
        <v>464</v>
      </c>
      <c r="C150" s="12"/>
      <c r="D150" s="13"/>
      <c r="E150" s="14"/>
      <c r="F150" s="13"/>
      <c r="G150" s="13"/>
      <c r="H150" s="15"/>
      <c r="I150" s="15"/>
      <c r="J150" s="16"/>
      <c r="K150" s="16"/>
      <c r="L150" s="12"/>
      <c r="M150" s="16"/>
      <c r="N150" s="13"/>
      <c r="O150" s="39"/>
      <c r="P150" s="39"/>
      <c r="Q150" s="39"/>
      <c r="R150" s="39"/>
      <c r="S150" s="40"/>
      <c r="T150" s="158"/>
      <c r="U150" s="141"/>
      <c r="V150" s="40"/>
      <c r="W150" s="145"/>
      <c r="X150" s="39"/>
      <c r="Y150" s="39"/>
      <c r="Z150" s="39"/>
      <c r="AA150" s="39"/>
      <c r="AB150" s="39"/>
      <c r="AC150" s="39"/>
      <c r="AD150" s="39"/>
      <c r="AE150" s="39"/>
      <c r="AF150" s="39"/>
      <c r="AG150" s="39"/>
      <c r="AH150" s="39"/>
    </row>
    <row r="151" spans="1:34" s="18" customFormat="1" ht="34.9" customHeight="1" x14ac:dyDescent="0.25">
      <c r="A151" s="19">
        <v>1</v>
      </c>
      <c r="B151" s="20" t="s">
        <v>372</v>
      </c>
      <c r="C151" s="9"/>
      <c r="D151" s="19" t="s">
        <v>373</v>
      </c>
      <c r="E151" s="42" t="s">
        <v>374</v>
      </c>
      <c r="F151" s="156"/>
      <c r="G151" s="19">
        <v>2013</v>
      </c>
      <c r="H151" s="22">
        <v>41563</v>
      </c>
      <c r="I151" s="22" t="s">
        <v>33</v>
      </c>
      <c r="J151" s="23">
        <v>26990000</v>
      </c>
      <c r="K151" s="23" t="s">
        <v>24</v>
      </c>
      <c r="L151" s="9"/>
      <c r="M151" s="23"/>
      <c r="N151" s="19" t="s">
        <v>435</v>
      </c>
      <c r="O151" s="32" t="s">
        <v>58</v>
      </c>
      <c r="P151" s="32" t="s">
        <v>27</v>
      </c>
      <c r="Q151" s="32"/>
      <c r="R151" s="32"/>
      <c r="S151" s="33"/>
      <c r="T151" s="55" t="s">
        <v>277</v>
      </c>
      <c r="U151" s="139"/>
      <c r="V151" s="33"/>
      <c r="W151" s="147"/>
      <c r="X151" s="32"/>
      <c r="Y151" s="32"/>
      <c r="Z151" s="32"/>
      <c r="AA151" s="32"/>
      <c r="AB151" s="32"/>
      <c r="AC151" s="32"/>
      <c r="AD151" s="32"/>
      <c r="AE151" s="32"/>
      <c r="AF151" s="32"/>
      <c r="AG151" s="32"/>
      <c r="AH151" s="32"/>
    </row>
    <row r="152" spans="1:34" s="18" customFormat="1" ht="63.6" customHeight="1" x14ac:dyDescent="0.25">
      <c r="A152" s="19">
        <v>2</v>
      </c>
      <c r="B152" s="20" t="s">
        <v>375</v>
      </c>
      <c r="C152" s="9"/>
      <c r="D152" s="19" t="s">
        <v>376</v>
      </c>
      <c r="E152" s="42" t="s">
        <v>377</v>
      </c>
      <c r="F152" s="156"/>
      <c r="G152" s="19"/>
      <c r="H152" s="22"/>
      <c r="I152" s="22" t="s">
        <v>321</v>
      </c>
      <c r="J152" s="23"/>
      <c r="K152" s="23" t="s">
        <v>24</v>
      </c>
      <c r="L152" s="9"/>
      <c r="M152" s="23"/>
      <c r="N152" s="19" t="s">
        <v>435</v>
      </c>
      <c r="O152" s="35" t="s">
        <v>208</v>
      </c>
      <c r="P152" s="32" t="s">
        <v>27</v>
      </c>
      <c r="Q152" s="32"/>
      <c r="R152" s="32"/>
      <c r="S152" s="33"/>
      <c r="T152" s="55" t="s">
        <v>229</v>
      </c>
      <c r="U152" s="139"/>
      <c r="V152" s="33"/>
      <c r="W152" s="147"/>
      <c r="X152" s="32"/>
      <c r="Y152" s="32"/>
      <c r="Z152" s="32"/>
      <c r="AA152" s="32"/>
      <c r="AB152" s="32"/>
      <c r="AC152" s="32"/>
      <c r="AD152" s="32"/>
      <c r="AE152" s="32"/>
      <c r="AF152" s="32"/>
      <c r="AG152" s="32"/>
      <c r="AH152" s="32"/>
    </row>
    <row r="153" spans="1:34" s="18" customFormat="1" ht="49.15" customHeight="1" x14ac:dyDescent="0.25">
      <c r="A153" s="19">
        <v>3</v>
      </c>
      <c r="B153" s="20" t="s">
        <v>378</v>
      </c>
      <c r="C153" s="9"/>
      <c r="D153" s="19" t="s">
        <v>379</v>
      </c>
      <c r="E153" s="42" t="s">
        <v>380</v>
      </c>
      <c r="F153" s="156"/>
      <c r="G153" s="19"/>
      <c r="H153" s="22"/>
      <c r="I153" s="22" t="s">
        <v>321</v>
      </c>
      <c r="J153" s="23"/>
      <c r="K153" s="23" t="s">
        <v>24</v>
      </c>
      <c r="L153" s="9"/>
      <c r="M153" s="23"/>
      <c r="N153" s="19" t="s">
        <v>435</v>
      </c>
      <c r="O153" s="35" t="s">
        <v>208</v>
      </c>
      <c r="P153" s="32" t="s">
        <v>27</v>
      </c>
      <c r="Q153" s="32"/>
      <c r="R153" s="32"/>
      <c r="S153" s="33"/>
      <c r="T153" s="55" t="s">
        <v>229</v>
      </c>
      <c r="U153" s="139"/>
      <c r="V153" s="33"/>
      <c r="W153" s="147"/>
      <c r="X153" s="32"/>
      <c r="Y153" s="32"/>
      <c r="Z153" s="32"/>
      <c r="AA153" s="32"/>
      <c r="AB153" s="32"/>
      <c r="AC153" s="32"/>
      <c r="AD153" s="32"/>
      <c r="AE153" s="32"/>
      <c r="AF153" s="32"/>
      <c r="AG153" s="32"/>
      <c r="AH153" s="32"/>
    </row>
    <row r="154" spans="1:34" s="18" customFormat="1" ht="49.9" customHeight="1" x14ac:dyDescent="0.25">
      <c r="A154" s="19">
        <v>4</v>
      </c>
      <c r="B154" s="20" t="s">
        <v>381</v>
      </c>
      <c r="C154" s="9"/>
      <c r="D154" s="19" t="s">
        <v>379</v>
      </c>
      <c r="E154" s="42" t="s">
        <v>382</v>
      </c>
      <c r="F154" s="156"/>
      <c r="G154" s="19"/>
      <c r="H154" s="22"/>
      <c r="I154" s="22" t="s">
        <v>321</v>
      </c>
      <c r="J154" s="23"/>
      <c r="K154" s="23" t="s">
        <v>24</v>
      </c>
      <c r="L154" s="9"/>
      <c r="M154" s="23"/>
      <c r="N154" s="19" t="s">
        <v>435</v>
      </c>
      <c r="O154" s="35" t="s">
        <v>208</v>
      </c>
      <c r="P154" s="32" t="s">
        <v>27</v>
      </c>
      <c r="Q154" s="32"/>
      <c r="R154" s="32"/>
      <c r="S154" s="33"/>
      <c r="T154" s="55" t="s">
        <v>229</v>
      </c>
      <c r="U154" s="139"/>
      <c r="V154" s="33"/>
      <c r="W154" s="147"/>
      <c r="X154" s="32"/>
      <c r="Y154" s="32"/>
      <c r="Z154" s="32"/>
      <c r="AA154" s="32"/>
      <c r="AB154" s="32"/>
      <c r="AC154" s="32"/>
      <c r="AD154" s="32"/>
      <c r="AE154" s="32"/>
      <c r="AF154" s="32"/>
      <c r="AG154" s="32"/>
      <c r="AH154" s="32"/>
    </row>
    <row r="155" spans="1:34" s="18" customFormat="1" ht="60" customHeight="1" x14ac:dyDescent="0.25">
      <c r="A155" s="19">
        <v>5</v>
      </c>
      <c r="B155" s="20" t="s">
        <v>383</v>
      </c>
      <c r="C155" s="9"/>
      <c r="D155" s="19" t="s">
        <v>376</v>
      </c>
      <c r="E155" s="42" t="s">
        <v>384</v>
      </c>
      <c r="F155" s="156"/>
      <c r="G155" s="19"/>
      <c r="H155" s="22"/>
      <c r="I155" s="22" t="s">
        <v>385</v>
      </c>
      <c r="J155" s="23"/>
      <c r="K155" s="23" t="s">
        <v>24</v>
      </c>
      <c r="L155" s="9"/>
      <c r="M155" s="23"/>
      <c r="N155" s="19" t="s">
        <v>435</v>
      </c>
      <c r="O155" s="35" t="s">
        <v>208</v>
      </c>
      <c r="P155" s="32" t="s">
        <v>27</v>
      </c>
      <c r="Q155" s="32"/>
      <c r="R155" s="32"/>
      <c r="S155" s="33"/>
      <c r="T155" s="55" t="s">
        <v>229</v>
      </c>
      <c r="U155" s="139"/>
      <c r="V155" s="33"/>
      <c r="W155" s="147"/>
      <c r="X155" s="32"/>
      <c r="Y155" s="32"/>
      <c r="Z155" s="32"/>
      <c r="AA155" s="32"/>
      <c r="AB155" s="32"/>
      <c r="AC155" s="32"/>
      <c r="AD155" s="32"/>
      <c r="AE155" s="32"/>
      <c r="AF155" s="32"/>
      <c r="AG155" s="32"/>
      <c r="AH155" s="32"/>
    </row>
    <row r="156" spans="1:34" s="18" customFormat="1" ht="60" customHeight="1" x14ac:dyDescent="0.25">
      <c r="A156" s="19">
        <v>6</v>
      </c>
      <c r="B156" s="20" t="s">
        <v>386</v>
      </c>
      <c r="C156" s="9"/>
      <c r="D156" s="19" t="s">
        <v>387</v>
      </c>
      <c r="E156" s="42" t="s">
        <v>388</v>
      </c>
      <c r="F156" s="156"/>
      <c r="G156" s="19"/>
      <c r="H156" s="22"/>
      <c r="I156" s="22" t="s">
        <v>389</v>
      </c>
      <c r="J156" s="23"/>
      <c r="K156" s="23" t="s">
        <v>24</v>
      </c>
      <c r="L156" s="9"/>
      <c r="M156" s="23"/>
      <c r="N156" s="19" t="s">
        <v>237</v>
      </c>
      <c r="O156" s="32" t="s">
        <v>481</v>
      </c>
      <c r="P156" s="32" t="s">
        <v>27</v>
      </c>
      <c r="Q156" s="32"/>
      <c r="R156" s="32"/>
      <c r="S156" s="33"/>
      <c r="T156" s="55" t="s">
        <v>229</v>
      </c>
      <c r="U156" s="139" t="s">
        <v>482</v>
      </c>
      <c r="V156" s="33"/>
      <c r="W156" s="147"/>
      <c r="X156" s="32"/>
      <c r="Y156" s="32"/>
      <c r="Z156" s="32"/>
      <c r="AA156" s="32"/>
      <c r="AB156" s="32"/>
      <c r="AC156" s="32"/>
      <c r="AD156" s="32"/>
      <c r="AE156" s="32"/>
      <c r="AF156" s="32"/>
      <c r="AG156" s="32"/>
      <c r="AH156" s="32"/>
    </row>
    <row r="157" spans="1:34" s="18" customFormat="1" ht="60" customHeight="1" x14ac:dyDescent="0.25">
      <c r="A157" s="19">
        <v>7</v>
      </c>
      <c r="B157" s="20" t="s">
        <v>390</v>
      </c>
      <c r="C157" s="24"/>
      <c r="D157" s="19" t="s">
        <v>391</v>
      </c>
      <c r="E157" s="42" t="s">
        <v>392</v>
      </c>
      <c r="F157" s="156"/>
      <c r="G157" s="19"/>
      <c r="H157" s="22"/>
      <c r="I157" s="22" t="s">
        <v>330</v>
      </c>
      <c r="J157" s="23"/>
      <c r="K157" s="23" t="s">
        <v>24</v>
      </c>
      <c r="L157" s="9"/>
      <c r="M157" s="23"/>
      <c r="N157" s="19" t="s">
        <v>192</v>
      </c>
      <c r="O157" s="32" t="s">
        <v>58</v>
      </c>
      <c r="P157" s="32" t="s">
        <v>27</v>
      </c>
      <c r="Q157" s="32"/>
      <c r="R157" s="32"/>
      <c r="S157" s="33"/>
      <c r="T157" s="157" t="s">
        <v>97</v>
      </c>
      <c r="U157" s="139"/>
      <c r="V157" s="33"/>
      <c r="W157" s="147"/>
      <c r="X157" s="32"/>
      <c r="Y157" s="32"/>
      <c r="Z157" s="32"/>
      <c r="AA157" s="32"/>
      <c r="AB157" s="32"/>
      <c r="AC157" s="32"/>
      <c r="AD157" s="32"/>
      <c r="AE157" s="32"/>
      <c r="AF157" s="32"/>
      <c r="AG157" s="32"/>
      <c r="AH157" s="32"/>
    </row>
    <row r="158" spans="1:34" s="18" customFormat="1" ht="96" x14ac:dyDescent="0.25">
      <c r="A158" s="19">
        <v>8</v>
      </c>
      <c r="B158" s="20" t="s">
        <v>465</v>
      </c>
      <c r="C158" s="24"/>
      <c r="D158" s="19" t="s">
        <v>466</v>
      </c>
      <c r="E158" s="42" t="s">
        <v>467</v>
      </c>
      <c r="F158" s="156"/>
      <c r="G158" s="19">
        <v>2025</v>
      </c>
      <c r="H158" s="22">
        <v>45800</v>
      </c>
      <c r="I158" s="22" t="s">
        <v>468</v>
      </c>
      <c r="J158" s="23">
        <v>7260000</v>
      </c>
      <c r="K158" s="23" t="s">
        <v>24</v>
      </c>
      <c r="L158" s="9"/>
      <c r="M158" s="23"/>
      <c r="N158" s="19" t="s">
        <v>447</v>
      </c>
      <c r="O158" s="32" t="s">
        <v>469</v>
      </c>
      <c r="P158" s="32" t="s">
        <v>27</v>
      </c>
      <c r="Q158" s="32">
        <v>2025</v>
      </c>
      <c r="R158" s="32" t="s">
        <v>487</v>
      </c>
      <c r="S158" s="33"/>
      <c r="T158" s="157" t="s">
        <v>470</v>
      </c>
      <c r="U158" s="139"/>
      <c r="V158" s="33"/>
      <c r="W158" s="147"/>
      <c r="X158" s="32"/>
      <c r="Y158" s="32"/>
      <c r="Z158" s="32"/>
      <c r="AA158" s="32"/>
      <c r="AB158" s="32"/>
      <c r="AC158" s="32"/>
      <c r="AD158" s="32"/>
      <c r="AE158" s="32"/>
      <c r="AF158" s="32"/>
      <c r="AG158" s="32"/>
      <c r="AH158" s="32"/>
    </row>
    <row r="159" spans="1:34" s="18" customFormat="1" ht="96" x14ac:dyDescent="0.25">
      <c r="A159" s="19">
        <v>9</v>
      </c>
      <c r="B159" s="20" t="s">
        <v>465</v>
      </c>
      <c r="C159" s="24"/>
      <c r="D159" s="19" t="s">
        <v>466</v>
      </c>
      <c r="E159" s="42" t="s">
        <v>467</v>
      </c>
      <c r="F159" s="156"/>
      <c r="G159" s="19">
        <v>2025</v>
      </c>
      <c r="H159" s="22">
        <v>45800</v>
      </c>
      <c r="I159" s="22" t="s">
        <v>468</v>
      </c>
      <c r="J159" s="23">
        <v>7260000</v>
      </c>
      <c r="K159" s="23" t="s">
        <v>24</v>
      </c>
      <c r="L159" s="9"/>
      <c r="M159" s="23"/>
      <c r="N159" s="19" t="s">
        <v>447</v>
      </c>
      <c r="O159" s="32" t="s">
        <v>471</v>
      </c>
      <c r="P159" s="32" t="s">
        <v>27</v>
      </c>
      <c r="Q159" s="32">
        <v>2025</v>
      </c>
      <c r="R159" s="32" t="s">
        <v>487</v>
      </c>
      <c r="S159" s="33"/>
      <c r="T159" s="157" t="s">
        <v>470</v>
      </c>
      <c r="U159" s="139"/>
      <c r="V159" s="33"/>
      <c r="W159" s="147"/>
      <c r="X159" s="32"/>
      <c r="Y159" s="32"/>
      <c r="Z159" s="32"/>
      <c r="AA159" s="32"/>
      <c r="AB159" s="32"/>
      <c r="AC159" s="32"/>
      <c r="AD159" s="32"/>
      <c r="AE159" s="32"/>
      <c r="AF159" s="32"/>
      <c r="AG159" s="32"/>
      <c r="AH159" s="32"/>
    </row>
    <row r="160" spans="1:34" s="53" customFormat="1" ht="24" customHeight="1" x14ac:dyDescent="0.25">
      <c r="A160" s="10" t="s">
        <v>393</v>
      </c>
      <c r="B160" s="11" t="s">
        <v>394</v>
      </c>
      <c r="C160" s="12"/>
      <c r="D160" s="13"/>
      <c r="E160" s="14"/>
      <c r="F160" s="13"/>
      <c r="G160" s="13"/>
      <c r="H160" s="15"/>
      <c r="I160" s="15"/>
      <c r="J160" s="16"/>
      <c r="K160" s="16"/>
      <c r="L160" s="12"/>
      <c r="M160" s="16"/>
      <c r="N160" s="13"/>
      <c r="O160" s="39"/>
      <c r="P160" s="39"/>
      <c r="Q160" s="39"/>
      <c r="R160" s="39"/>
      <c r="S160" s="40"/>
      <c r="T160" s="158"/>
      <c r="U160" s="141"/>
      <c r="V160" s="40"/>
      <c r="W160" s="145"/>
      <c r="X160" s="39"/>
      <c r="Y160" s="39"/>
      <c r="Z160" s="39"/>
      <c r="AA160" s="39"/>
      <c r="AB160" s="39"/>
      <c r="AC160" s="39"/>
      <c r="AD160" s="39"/>
      <c r="AE160" s="39"/>
      <c r="AF160" s="39"/>
      <c r="AG160" s="39"/>
      <c r="AH160" s="39"/>
    </row>
    <row r="161" spans="1:34" s="18" customFormat="1" ht="62.45" customHeight="1" x14ac:dyDescent="0.25">
      <c r="A161" s="19">
        <v>1</v>
      </c>
      <c r="B161" s="20" t="s">
        <v>395</v>
      </c>
      <c r="C161" s="9"/>
      <c r="D161" s="19" t="s">
        <v>396</v>
      </c>
      <c r="E161" s="42" t="s">
        <v>397</v>
      </c>
      <c r="F161" s="156"/>
      <c r="G161" s="19"/>
      <c r="H161" s="22"/>
      <c r="I161" s="22" t="s">
        <v>272</v>
      </c>
      <c r="J161" s="23"/>
      <c r="K161" s="23" t="s">
        <v>257</v>
      </c>
      <c r="L161" s="9"/>
      <c r="M161" s="23"/>
      <c r="N161" s="19" t="s">
        <v>276</v>
      </c>
      <c r="O161" s="32" t="s">
        <v>58</v>
      </c>
      <c r="P161" s="32" t="s">
        <v>27</v>
      </c>
      <c r="Q161" s="32"/>
      <c r="R161" s="32"/>
      <c r="S161" s="33"/>
      <c r="T161" s="55"/>
      <c r="U161" s="139"/>
      <c r="V161" s="33"/>
      <c r="W161" s="147"/>
      <c r="X161" s="32"/>
      <c r="Y161" s="32"/>
      <c r="Z161" s="32"/>
      <c r="AA161" s="32"/>
      <c r="AB161" s="32"/>
      <c r="AC161" s="32"/>
      <c r="AD161" s="32"/>
      <c r="AE161" s="32"/>
      <c r="AF161" s="32"/>
      <c r="AG161" s="32"/>
      <c r="AH161" s="32"/>
    </row>
    <row r="162" spans="1:34" s="18" customFormat="1" ht="37.15" customHeight="1" x14ac:dyDescent="0.25">
      <c r="A162" s="19">
        <v>2</v>
      </c>
      <c r="B162" s="20" t="s">
        <v>398</v>
      </c>
      <c r="C162" s="9"/>
      <c r="D162" s="19" t="s">
        <v>399</v>
      </c>
      <c r="E162" s="42" t="s">
        <v>400</v>
      </c>
      <c r="F162" s="156"/>
      <c r="G162" s="19"/>
      <c r="H162" s="22"/>
      <c r="I162" s="22" t="s">
        <v>401</v>
      </c>
      <c r="J162" s="23">
        <v>6950000</v>
      </c>
      <c r="K162" s="23" t="s">
        <v>24</v>
      </c>
      <c r="L162" s="9"/>
      <c r="M162" s="23"/>
      <c r="N162" s="32" t="s">
        <v>58</v>
      </c>
      <c r="O162" s="32" t="s">
        <v>58</v>
      </c>
      <c r="P162" s="32" t="s">
        <v>27</v>
      </c>
      <c r="Q162" s="32"/>
      <c r="R162" s="32"/>
      <c r="S162" s="33"/>
      <c r="T162" s="55" t="s">
        <v>402</v>
      </c>
      <c r="U162" s="139"/>
      <c r="V162" s="33"/>
      <c r="W162" s="147"/>
      <c r="X162" s="32"/>
      <c r="Y162" s="32"/>
      <c r="Z162" s="32"/>
      <c r="AA162" s="32"/>
      <c r="AB162" s="32"/>
      <c r="AC162" s="32"/>
      <c r="AD162" s="32"/>
      <c r="AE162" s="32"/>
      <c r="AF162" s="32"/>
      <c r="AG162" s="32"/>
      <c r="AH162" s="32"/>
    </row>
    <row r="163" spans="1:34" s="18" customFormat="1" ht="37.15" customHeight="1" x14ac:dyDescent="0.25">
      <c r="A163" s="19">
        <v>3</v>
      </c>
      <c r="B163" s="20" t="s">
        <v>403</v>
      </c>
      <c r="C163" s="9"/>
      <c r="D163" s="19" t="s">
        <v>404</v>
      </c>
      <c r="E163" s="42" t="s">
        <v>405</v>
      </c>
      <c r="F163" s="156"/>
      <c r="G163" s="19"/>
      <c r="H163" s="22">
        <v>43887</v>
      </c>
      <c r="I163" s="22" t="s">
        <v>406</v>
      </c>
      <c r="J163" s="23">
        <v>1580000</v>
      </c>
      <c r="K163" s="23" t="s">
        <v>24</v>
      </c>
      <c r="L163" s="9"/>
      <c r="M163" s="23"/>
      <c r="N163" s="19" t="s">
        <v>237</v>
      </c>
      <c r="O163" s="32" t="s">
        <v>58</v>
      </c>
      <c r="P163" s="32" t="s">
        <v>27</v>
      </c>
      <c r="Q163" s="32"/>
      <c r="R163" s="32"/>
      <c r="S163" s="33"/>
      <c r="T163" s="55" t="s">
        <v>407</v>
      </c>
      <c r="U163" s="139"/>
      <c r="V163" s="33"/>
      <c r="W163" s="147"/>
      <c r="X163" s="32"/>
      <c r="Y163" s="32"/>
      <c r="Z163" s="32"/>
      <c r="AA163" s="32"/>
      <c r="AB163" s="32"/>
      <c r="AC163" s="32"/>
      <c r="AD163" s="32"/>
      <c r="AE163" s="32"/>
      <c r="AF163" s="32"/>
      <c r="AG163" s="32"/>
      <c r="AH163" s="32"/>
    </row>
    <row r="164" spans="1:34" s="53" customFormat="1" ht="24" customHeight="1" x14ac:dyDescent="0.25">
      <c r="A164" s="10" t="s">
        <v>408</v>
      </c>
      <c r="B164" s="11" t="s">
        <v>409</v>
      </c>
      <c r="C164" s="12"/>
      <c r="D164" s="13"/>
      <c r="E164" s="14"/>
      <c r="F164" s="13"/>
      <c r="G164" s="13"/>
      <c r="H164" s="15"/>
      <c r="I164" s="15"/>
      <c r="J164" s="16"/>
      <c r="K164" s="16"/>
      <c r="L164" s="12"/>
      <c r="M164" s="16"/>
      <c r="N164" s="13"/>
      <c r="O164" s="39"/>
      <c r="P164" s="39"/>
      <c r="Q164" s="39"/>
      <c r="R164" s="39"/>
      <c r="S164" s="40"/>
      <c r="T164" s="158"/>
      <c r="U164" s="141"/>
      <c r="V164" s="40"/>
      <c r="W164" s="145"/>
      <c r="X164" s="39"/>
      <c r="Y164" s="39"/>
      <c r="Z164" s="39"/>
      <c r="AA164" s="39"/>
      <c r="AB164" s="39"/>
      <c r="AC164" s="39"/>
      <c r="AD164" s="39"/>
      <c r="AE164" s="39"/>
      <c r="AF164" s="39"/>
      <c r="AG164" s="39"/>
      <c r="AH164" s="39"/>
    </row>
    <row r="165" spans="1:34" s="18" customFormat="1" ht="91.9" customHeight="1" x14ac:dyDescent="0.25">
      <c r="A165" s="19">
        <v>1</v>
      </c>
      <c r="B165" s="20" t="s">
        <v>410</v>
      </c>
      <c r="C165" s="9"/>
      <c r="D165" s="19" t="s">
        <v>411</v>
      </c>
      <c r="E165" s="42" t="s">
        <v>412</v>
      </c>
      <c r="F165" s="156"/>
      <c r="G165" s="19"/>
      <c r="H165" s="22"/>
      <c r="I165" s="22" t="s">
        <v>413</v>
      </c>
      <c r="J165" s="23"/>
      <c r="K165" s="23" t="s">
        <v>24</v>
      </c>
      <c r="L165" s="9"/>
      <c r="M165" s="23"/>
      <c r="N165" s="19" t="s">
        <v>127</v>
      </c>
      <c r="O165" s="19" t="s">
        <v>127</v>
      </c>
      <c r="P165" s="32" t="s">
        <v>27</v>
      </c>
      <c r="Q165" s="32"/>
      <c r="R165" s="32"/>
      <c r="S165" s="33"/>
      <c r="T165" s="55" t="s">
        <v>414</v>
      </c>
      <c r="U165" s="139"/>
      <c r="V165" s="33"/>
      <c r="W165" s="147"/>
      <c r="X165" s="32"/>
      <c r="Y165" s="32"/>
      <c r="Z165" s="32"/>
      <c r="AA165" s="32"/>
      <c r="AB165" s="32"/>
      <c r="AC165" s="32"/>
      <c r="AD165" s="32"/>
      <c r="AE165" s="32"/>
      <c r="AF165" s="32"/>
      <c r="AG165" s="32"/>
      <c r="AH165" s="32"/>
    </row>
    <row r="166" spans="1:34" s="18" customFormat="1" ht="91.9" customHeight="1" x14ac:dyDescent="0.25">
      <c r="A166" s="19">
        <v>2</v>
      </c>
      <c r="B166" s="20" t="s">
        <v>410</v>
      </c>
      <c r="C166" s="9"/>
      <c r="D166" s="19" t="s">
        <v>411</v>
      </c>
      <c r="E166" s="42" t="s">
        <v>415</v>
      </c>
      <c r="F166" s="156"/>
      <c r="G166" s="19"/>
      <c r="H166" s="22"/>
      <c r="I166" s="22" t="s">
        <v>413</v>
      </c>
      <c r="J166" s="23"/>
      <c r="K166" s="23" t="s">
        <v>24</v>
      </c>
      <c r="L166" s="9"/>
      <c r="M166" s="23"/>
      <c r="N166" s="19" t="s">
        <v>176</v>
      </c>
      <c r="O166" s="19" t="s">
        <v>58</v>
      </c>
      <c r="P166" s="32" t="s">
        <v>27</v>
      </c>
      <c r="Q166" s="32"/>
      <c r="R166" s="32"/>
      <c r="S166" s="33"/>
      <c r="T166" s="55" t="s">
        <v>414</v>
      </c>
      <c r="U166" s="139"/>
      <c r="V166" s="33"/>
      <c r="W166" s="147"/>
      <c r="X166" s="32"/>
      <c r="Y166" s="32"/>
      <c r="Z166" s="32"/>
      <c r="AA166" s="32"/>
      <c r="AB166" s="32"/>
      <c r="AC166" s="32"/>
      <c r="AD166" s="32"/>
      <c r="AE166" s="32"/>
      <c r="AF166" s="32"/>
      <c r="AG166" s="32"/>
      <c r="AH166" s="32"/>
    </row>
    <row r="167" spans="1:34" s="18" customFormat="1" ht="91.9" customHeight="1" x14ac:dyDescent="0.25">
      <c r="A167" s="19">
        <v>3</v>
      </c>
      <c r="B167" s="20" t="s">
        <v>410</v>
      </c>
      <c r="C167" s="9"/>
      <c r="D167" s="19" t="s">
        <v>411</v>
      </c>
      <c r="E167" s="42" t="s">
        <v>415</v>
      </c>
      <c r="F167" s="156"/>
      <c r="G167" s="19"/>
      <c r="H167" s="22"/>
      <c r="I167" s="22" t="s">
        <v>413</v>
      </c>
      <c r="J167" s="23"/>
      <c r="K167" s="23" t="s">
        <v>24</v>
      </c>
      <c r="L167" s="9"/>
      <c r="M167" s="23"/>
      <c r="N167" s="19" t="s">
        <v>167</v>
      </c>
      <c r="O167" s="19" t="s">
        <v>58</v>
      </c>
      <c r="P167" s="32" t="s">
        <v>27</v>
      </c>
      <c r="Q167" s="32"/>
      <c r="R167" s="32"/>
      <c r="S167" s="33"/>
      <c r="T167" s="55" t="s">
        <v>414</v>
      </c>
      <c r="U167" s="139"/>
      <c r="V167" s="33"/>
      <c r="W167" s="147"/>
      <c r="X167" s="32"/>
      <c r="Y167" s="32"/>
      <c r="Z167" s="32"/>
      <c r="AA167" s="32"/>
      <c r="AB167" s="32"/>
      <c r="AC167" s="32"/>
      <c r="AD167" s="32"/>
      <c r="AE167" s="32"/>
      <c r="AF167" s="32"/>
      <c r="AG167" s="32"/>
      <c r="AH167" s="32"/>
    </row>
    <row r="168" spans="1:34" s="18" customFormat="1" ht="24" customHeight="1" x14ac:dyDescent="0.25">
      <c r="A168" s="19">
        <v>4</v>
      </c>
      <c r="B168" s="20" t="s">
        <v>416</v>
      </c>
      <c r="C168" s="9"/>
      <c r="D168" s="19" t="s">
        <v>417</v>
      </c>
      <c r="E168" s="42" t="s">
        <v>418</v>
      </c>
      <c r="F168" s="156"/>
      <c r="G168" s="19"/>
      <c r="H168" s="22"/>
      <c r="I168" s="22" t="s">
        <v>419</v>
      </c>
      <c r="J168" s="23"/>
      <c r="K168" s="23" t="s">
        <v>420</v>
      </c>
      <c r="L168" s="9"/>
      <c r="M168" s="23"/>
      <c r="N168" s="19" t="s">
        <v>167</v>
      </c>
      <c r="O168" s="19" t="s">
        <v>322</v>
      </c>
      <c r="P168" s="32" t="s">
        <v>27</v>
      </c>
      <c r="Q168" s="32"/>
      <c r="R168" s="32"/>
      <c r="S168" s="33"/>
      <c r="T168" s="55"/>
      <c r="U168" s="139"/>
      <c r="V168" s="33"/>
      <c r="W168" s="147"/>
      <c r="X168" s="32"/>
      <c r="Y168" s="32"/>
      <c r="Z168" s="32"/>
      <c r="AA168" s="32"/>
      <c r="AB168" s="32"/>
      <c r="AC168" s="32"/>
      <c r="AD168" s="32"/>
      <c r="AE168" s="32"/>
      <c r="AF168" s="32"/>
      <c r="AG168" s="32"/>
      <c r="AH168" s="32"/>
    </row>
    <row r="169" spans="1:34" s="18" customFormat="1" ht="70.150000000000006" customHeight="1" x14ac:dyDescent="0.25">
      <c r="A169" s="19">
        <v>5</v>
      </c>
      <c r="B169" s="20" t="s">
        <v>421</v>
      </c>
      <c r="C169" s="9"/>
      <c r="D169" s="19" t="s">
        <v>422</v>
      </c>
      <c r="E169" s="42" t="s">
        <v>423</v>
      </c>
      <c r="F169" s="156"/>
      <c r="G169" s="19"/>
      <c r="H169" s="22"/>
      <c r="I169" s="22" t="s">
        <v>424</v>
      </c>
      <c r="J169" s="23"/>
      <c r="K169" s="23" t="s">
        <v>420</v>
      </c>
      <c r="L169" s="9"/>
      <c r="M169" s="23"/>
      <c r="N169" s="19" t="s">
        <v>167</v>
      </c>
      <c r="O169" s="32" t="s">
        <v>181</v>
      </c>
      <c r="P169" s="32" t="s">
        <v>27</v>
      </c>
      <c r="Q169" s="32"/>
      <c r="R169" s="32"/>
      <c r="S169" s="33"/>
      <c r="T169" s="55" t="s">
        <v>229</v>
      </c>
      <c r="U169" s="139"/>
      <c r="V169" s="33"/>
      <c r="W169" s="147"/>
      <c r="X169" s="32"/>
      <c r="Y169" s="32"/>
      <c r="Z169" s="32"/>
      <c r="AA169" s="32"/>
      <c r="AB169" s="32"/>
      <c r="AC169" s="32"/>
      <c r="AD169" s="32"/>
      <c r="AE169" s="32"/>
      <c r="AF169" s="32"/>
      <c r="AG169" s="32"/>
      <c r="AH169" s="32"/>
    </row>
    <row r="170" spans="1:34" s="18" customFormat="1" ht="24" customHeight="1" x14ac:dyDescent="0.25">
      <c r="A170" s="19">
        <v>6</v>
      </c>
      <c r="B170" s="20" t="s">
        <v>422</v>
      </c>
      <c r="C170" s="9"/>
      <c r="D170" s="19" t="s">
        <v>422</v>
      </c>
      <c r="E170" s="20"/>
      <c r="F170" s="19"/>
      <c r="G170" s="19"/>
      <c r="H170" s="22"/>
      <c r="I170" s="22"/>
      <c r="J170" s="23"/>
      <c r="K170" s="23"/>
      <c r="L170" s="9"/>
      <c r="M170" s="23"/>
      <c r="N170" s="19" t="s">
        <v>25</v>
      </c>
      <c r="O170" s="32" t="s">
        <v>26</v>
      </c>
      <c r="P170" s="32" t="s">
        <v>27</v>
      </c>
      <c r="Q170" s="32"/>
      <c r="R170" s="32"/>
      <c r="S170" s="33"/>
      <c r="T170" s="55"/>
      <c r="U170" s="139"/>
      <c r="V170" s="33"/>
      <c r="W170" s="147"/>
      <c r="X170" s="32"/>
      <c r="Y170" s="32"/>
      <c r="Z170" s="32"/>
      <c r="AA170" s="32"/>
      <c r="AB170" s="32"/>
      <c r="AC170" s="32"/>
      <c r="AD170" s="32"/>
      <c r="AE170" s="32"/>
      <c r="AF170" s="32"/>
      <c r="AG170" s="32"/>
      <c r="AH170" s="32"/>
    </row>
    <row r="171" spans="1:34" s="18" customFormat="1" ht="48.6" customHeight="1" x14ac:dyDescent="0.25">
      <c r="A171" s="19">
        <v>7</v>
      </c>
      <c r="B171" s="20" t="s">
        <v>425</v>
      </c>
      <c r="C171" s="9"/>
      <c r="D171" s="19" t="s">
        <v>426</v>
      </c>
      <c r="E171" s="42" t="s">
        <v>427</v>
      </c>
      <c r="F171" s="156"/>
      <c r="G171" s="19"/>
      <c r="H171" s="22"/>
      <c r="I171" s="22" t="s">
        <v>428</v>
      </c>
      <c r="J171" s="23"/>
      <c r="K171" s="23" t="s">
        <v>24</v>
      </c>
      <c r="L171" s="9"/>
      <c r="M171" s="23"/>
      <c r="N171" s="19" t="s">
        <v>437</v>
      </c>
      <c r="O171" s="32" t="s">
        <v>140</v>
      </c>
      <c r="P171" s="32" t="s">
        <v>27</v>
      </c>
      <c r="Q171" s="32"/>
      <c r="R171" s="32"/>
      <c r="S171" s="33"/>
      <c r="T171" s="55"/>
      <c r="U171" s="139"/>
      <c r="V171" s="33"/>
      <c r="W171" s="147"/>
      <c r="X171" s="32"/>
      <c r="Y171" s="32"/>
      <c r="Z171" s="32"/>
      <c r="AA171" s="32"/>
      <c r="AB171" s="32"/>
      <c r="AC171" s="32"/>
      <c r="AD171" s="32"/>
      <c r="AE171" s="32"/>
      <c r="AF171" s="32"/>
      <c r="AG171" s="32"/>
      <c r="AH171" s="32"/>
    </row>
    <row r="172" spans="1:34" s="18" customFormat="1" ht="48.6" customHeight="1" x14ac:dyDescent="0.25">
      <c r="A172" s="19">
        <v>8</v>
      </c>
      <c r="B172" s="20" t="s">
        <v>425</v>
      </c>
      <c r="C172" s="9"/>
      <c r="D172" s="19" t="s">
        <v>426</v>
      </c>
      <c r="E172" s="42" t="s">
        <v>427</v>
      </c>
      <c r="F172" s="156"/>
      <c r="G172" s="19"/>
      <c r="H172" s="22"/>
      <c r="I172" s="22" t="s">
        <v>428</v>
      </c>
      <c r="J172" s="23"/>
      <c r="K172" s="23" t="s">
        <v>24</v>
      </c>
      <c r="L172" s="9"/>
      <c r="M172" s="23"/>
      <c r="N172" s="19" t="s">
        <v>127</v>
      </c>
      <c r="O172" s="32" t="s">
        <v>429</v>
      </c>
      <c r="P172" s="32" t="s">
        <v>27</v>
      </c>
      <c r="Q172" s="32"/>
      <c r="R172" s="32"/>
      <c r="S172" s="33"/>
      <c r="T172" s="55"/>
      <c r="U172" s="139"/>
      <c r="V172" s="33"/>
      <c r="W172" s="147"/>
      <c r="X172" s="32"/>
      <c r="Y172" s="32"/>
      <c r="Z172" s="32"/>
      <c r="AA172" s="32"/>
      <c r="AB172" s="32"/>
      <c r="AC172" s="32"/>
      <c r="AD172" s="32"/>
      <c r="AE172" s="32"/>
      <c r="AF172" s="32"/>
      <c r="AG172" s="32"/>
      <c r="AH172" s="32"/>
    </row>
    <row r="173" spans="1:34" s="18" customFormat="1" ht="24" customHeight="1" x14ac:dyDescent="0.25">
      <c r="A173" s="75"/>
      <c r="B173" s="76" t="s">
        <v>430</v>
      </c>
      <c r="C173" s="77"/>
      <c r="D173" s="75"/>
      <c r="E173" s="78"/>
      <c r="F173" s="75"/>
      <c r="G173" s="79"/>
      <c r="H173" s="80"/>
      <c r="I173" s="80"/>
      <c r="J173" s="81"/>
      <c r="K173" s="81"/>
      <c r="L173" s="77"/>
      <c r="M173" s="81"/>
      <c r="N173" s="75"/>
      <c r="O173" s="82"/>
      <c r="P173" s="82"/>
      <c r="Q173" s="82"/>
      <c r="R173" s="82"/>
      <c r="S173" s="79"/>
      <c r="T173" s="161"/>
      <c r="U173" s="144"/>
      <c r="V173" s="79"/>
      <c r="W173" s="148"/>
      <c r="X173" s="82"/>
      <c r="Y173" s="82"/>
      <c r="Z173" s="82"/>
      <c r="AA173" s="82"/>
      <c r="AB173" s="82"/>
      <c r="AC173" s="82"/>
      <c r="AD173" s="82"/>
      <c r="AE173" s="82"/>
      <c r="AF173" s="82"/>
      <c r="AG173" s="82"/>
      <c r="AH173" s="82"/>
    </row>
  </sheetData>
  <autoFilter ref="B7:AH173" xr:uid="{2E1FABDF-33A0-4E6C-BBC9-23091C1E0ECA}"/>
  <mergeCells count="7">
    <mergeCell ref="V6:AH6"/>
    <mergeCell ref="A6:A7"/>
    <mergeCell ref="B5:U5"/>
    <mergeCell ref="B1:D2"/>
    <mergeCell ref="B4:U4"/>
    <mergeCell ref="B3:U3"/>
    <mergeCell ref="B6:U6"/>
  </mergeCells>
  <phoneticPr fontId="28" type="noConversion"/>
  <conditionalFormatting sqref="C7:C9 C12 C15:C16 C18:C21 C33 C35:C37 C39:C41 C43:C44 C46:C47 C49 C53:C55 C57:C59 C62:C67 C69 C71 C74:C76 C79:C91 C93:C100 C103:C104 C116:C117 C123:C135 C137:C155 C160:C65475">
    <cfRule type="expression" dxfId="100" priority="349" stopIfTrue="1">
      <formula>AND(COUNTIF($C$160:$C$65475, C7)+COUNTIF($C$116:$C$117, C7)+COUNTIF($C$33:$C$38, C7)+COUNTIF(#REF!, C7)+COUNTIF($C$71:$C$71, C7)+COUNTIF($C$123:$C$135, C7)+COUNTIF($C$75:$C$76, C7)+COUNTIF($C$137:$C$155, C7)+COUNTIF($C$15:$C$16, C7)+COUNTIF($C$12:$C$12, C7)+COUNTIF(#REF!, C7)+COUNTIF($C$2:$C$10, C7)+COUNTIF($C$18:$C$21, C7)+COUNTIF(#REF!, C7)+COUNTIF($C$54:$C$66, C7)+COUNTIF($C$74:$C$74, C7)+COUNTIF(#REF!, C7)+COUNTIF($C$67:$C$69, C7)+COUNTIF($C$103:$C$104, C7)+COUNTIF($C$79:$C$100, C7)&gt;1,NOT(ISBLANK(C7)))</formula>
    </cfRule>
    <cfRule type="expression" dxfId="99" priority="372" stopIfTrue="1">
      <formula>AND(COUNTIF($C$160:$C$65475, C7)+COUNTIF($C$33:$C$38, C7)+COUNTIF(#REF!, C7)+COUNTIF($C$71:$C$71, C7)+COUNTIF($C$123:$C$135, C7)+COUNTIF($C$116:$C$117, C7)+COUNTIF($C$75:$C$76, C7)+COUNTIF($C$137:$C$155, C7)+COUNTIF($C$15:$C$16, C7)+COUNTIF($C$12:$C$12, C7)+COUNTIF(#REF!, C7)+COUNTIF($C$2:$C$10, C7)+COUNTIF($C$18:$C$21, C7)+COUNTIF(#REF!, C7)+COUNTIF($C$54:$C$66, C7)+COUNTIF($C$74:$C$74, C7)+COUNTIF(#REF!, C7)+COUNTIF($C$67:$C$69, C7)+COUNTIF($C$103:$C$104, C7)+COUNTIF($C$79:$C$100, C7)&gt;1,NOT(ISBLANK(C7)))</formula>
    </cfRule>
  </conditionalFormatting>
  <conditionalFormatting sqref="C10">
    <cfRule type="duplicateValues" dxfId="98" priority="43" stopIfTrue="1"/>
    <cfRule type="duplicateValues" dxfId="97" priority="44" stopIfTrue="1"/>
  </conditionalFormatting>
  <conditionalFormatting sqref="C11">
    <cfRule type="duplicateValues" dxfId="96" priority="88" stopIfTrue="1"/>
    <cfRule type="duplicateValues" dxfId="95" priority="87" stopIfTrue="1"/>
  </conditionalFormatting>
  <conditionalFormatting sqref="C13">
    <cfRule type="duplicateValues" dxfId="94" priority="31" stopIfTrue="1"/>
    <cfRule type="duplicateValues" dxfId="93" priority="32" stopIfTrue="1"/>
  </conditionalFormatting>
  <conditionalFormatting sqref="C14">
    <cfRule type="duplicateValues" dxfId="92" priority="90" stopIfTrue="1"/>
    <cfRule type="duplicateValues" dxfId="91" priority="89" stopIfTrue="1"/>
  </conditionalFormatting>
  <conditionalFormatting sqref="C17">
    <cfRule type="duplicateValues" dxfId="90" priority="36" stopIfTrue="1"/>
    <cfRule type="duplicateValues" dxfId="89" priority="35" stopIfTrue="1"/>
  </conditionalFormatting>
  <conditionalFormatting sqref="C22:C23">
    <cfRule type="duplicateValues" dxfId="88" priority="115" stopIfTrue="1"/>
    <cfRule type="duplicateValues" dxfId="87" priority="116" stopIfTrue="1"/>
  </conditionalFormatting>
  <conditionalFormatting sqref="C24">
    <cfRule type="duplicateValues" dxfId="86" priority="109" stopIfTrue="1"/>
    <cfRule type="duplicateValues" dxfId="85" priority="110" stopIfTrue="1"/>
  </conditionalFormatting>
  <conditionalFormatting sqref="C25">
    <cfRule type="duplicateValues" dxfId="84" priority="106" stopIfTrue="1"/>
    <cfRule type="duplicateValues" dxfId="83" priority="105" stopIfTrue="1"/>
  </conditionalFormatting>
  <conditionalFormatting sqref="C26">
    <cfRule type="duplicateValues" dxfId="82" priority="295" stopIfTrue="1"/>
  </conditionalFormatting>
  <conditionalFormatting sqref="C27:C32">
    <cfRule type="duplicateValues" dxfId="81" priority="57" stopIfTrue="1"/>
    <cfRule type="duplicateValues" dxfId="80" priority="58" stopIfTrue="1"/>
  </conditionalFormatting>
  <conditionalFormatting sqref="C34">
    <cfRule type="duplicateValues" dxfId="79" priority="30" stopIfTrue="1"/>
    <cfRule type="duplicateValues" dxfId="78" priority="29" stopIfTrue="1"/>
  </conditionalFormatting>
  <conditionalFormatting sqref="C38">
    <cfRule type="duplicateValues" dxfId="77" priority="25" stopIfTrue="1"/>
    <cfRule type="duplicateValues" dxfId="76" priority="26" stopIfTrue="1"/>
  </conditionalFormatting>
  <conditionalFormatting sqref="C42">
    <cfRule type="duplicateValues" dxfId="75" priority="28" stopIfTrue="1"/>
    <cfRule type="duplicateValues" dxfId="74" priority="27" stopIfTrue="1"/>
  </conditionalFormatting>
  <conditionalFormatting sqref="C45">
    <cfRule type="duplicateValues" dxfId="73" priority="23" stopIfTrue="1"/>
    <cfRule type="duplicateValues" dxfId="72" priority="24" stopIfTrue="1"/>
  </conditionalFormatting>
  <conditionalFormatting sqref="C48">
    <cfRule type="duplicateValues" dxfId="71" priority="19" stopIfTrue="1"/>
    <cfRule type="duplicateValues" dxfId="70" priority="20" stopIfTrue="1"/>
  </conditionalFormatting>
  <conditionalFormatting sqref="C50">
    <cfRule type="duplicateValues" dxfId="69" priority="16" stopIfTrue="1"/>
    <cfRule type="duplicateValues" dxfId="68" priority="15" stopIfTrue="1"/>
  </conditionalFormatting>
  <conditionalFormatting sqref="C51">
    <cfRule type="duplicateValues" dxfId="67" priority="13" stopIfTrue="1"/>
    <cfRule type="duplicateValues" dxfId="66" priority="348" stopIfTrue="1"/>
  </conditionalFormatting>
  <conditionalFormatting sqref="C52">
    <cfRule type="duplicateValues" dxfId="65" priority="11" stopIfTrue="1"/>
    <cfRule type="duplicateValues" dxfId="64" priority="12" stopIfTrue="1"/>
  </conditionalFormatting>
  <conditionalFormatting sqref="C56">
    <cfRule type="duplicateValues" dxfId="63" priority="1" stopIfTrue="1"/>
    <cfRule type="duplicateValues" dxfId="62" priority="2" stopIfTrue="1"/>
  </conditionalFormatting>
  <conditionalFormatting sqref="C60">
    <cfRule type="duplicateValues" dxfId="61" priority="8" stopIfTrue="1"/>
    <cfRule type="duplicateValues" dxfId="60" priority="7" stopIfTrue="1"/>
  </conditionalFormatting>
  <conditionalFormatting sqref="C61">
    <cfRule type="expression" dxfId="59" priority="419" stopIfTrue="1">
      <formula>AND(COUNTIF($C$223:$C$65555, C61)+COUNTIF($C$52:$C$63, C61)+COUNTIF($C$67:$C$68, C61)+COUNTIF($C$96:$C$96, C61)+COUNTIF($C$189:$C$201, C61)+COUNTIF($C$183:$C$184, C61)+COUNTIF($C$127:$C$128, C61)+COUNTIF($C$203:$C$219, C61)+COUNTIF($C$16:$C$19, C61)+COUNTIF($C$13:$C$14, C61)+COUNTIF($C$164:$C$173, C61)+COUNTIF($C$2:$C$11, C61)+COUNTIF($C$22:$C$39, C61)+COUNTIF($C$99:$C$107, C61)+COUNTIF($C$71:$C$89, C61)+COUNTIF($C$109:$C$119, C61)+COUNTIF($C$175:$C$178, C61)+COUNTIF($C$91:$C$94, C61)+COUNTIF($C$156:$C$157, C61)+COUNTIF($C$132:$C$154, C61)&gt;1,NOT(ISBLANK(C61)))</formula>
    </cfRule>
    <cfRule type="expression" dxfId="58" priority="418" stopIfTrue="1">
      <formula>AND(COUNTIF($C$223:$C$65555, C61)+COUNTIF($C$183:$C$184, C61)+COUNTIF($C$52:$C$61, C61)+COUNTIF($C$67:$C$68, C61)+COUNTIF($C$96:$C$96, C61)+COUNTIF($C$189:$C$201, C61)+COUNTIF($C$127:$C$128, C61)+COUNTIF($C$203:$C$219, C61)+COUNTIF($C$16:$C$19, C61)+COUNTIF($C$13:$C$14, C61)+COUNTIF($C$164:$C$173, C61)+COUNTIF($C$2:$C$11, C61)+COUNTIF($C$22:$C$39, C61)+COUNTIF($C$99:$C$107, C61)+COUNTIF($C$71:$C$89, C61)+COUNTIF($C$109:$C$119, C61)+COUNTIF($C$175:$C$177, C61)+COUNTIF($C$91:$C$94, C61)+COUNTIF($C$156:$C$157, C61)+COUNTIF($C$132:$C$154, C61)&gt;1,NOT(ISBLANK(C61)))</formula>
    </cfRule>
  </conditionalFormatting>
  <conditionalFormatting sqref="C68">
    <cfRule type="duplicateValues" dxfId="57" priority="4" stopIfTrue="1"/>
    <cfRule type="duplicateValues" dxfId="56" priority="3" stopIfTrue="1"/>
  </conditionalFormatting>
  <conditionalFormatting sqref="C70">
    <cfRule type="duplicateValues" dxfId="55" priority="102" stopIfTrue="1"/>
    <cfRule type="duplicateValues" dxfId="54" priority="101" stopIfTrue="1"/>
  </conditionalFormatting>
  <conditionalFormatting sqref="C72:C73">
    <cfRule type="duplicateValues" dxfId="53" priority="81" stopIfTrue="1"/>
    <cfRule type="duplicateValues" dxfId="52" priority="82" stopIfTrue="1"/>
  </conditionalFormatting>
  <conditionalFormatting sqref="C77">
    <cfRule type="duplicateValues" dxfId="51" priority="39" stopIfTrue="1"/>
    <cfRule type="duplicateValues" dxfId="50" priority="40" stopIfTrue="1"/>
  </conditionalFormatting>
  <conditionalFormatting sqref="C78">
    <cfRule type="duplicateValues" dxfId="49" priority="62" stopIfTrue="1"/>
    <cfRule type="duplicateValues" dxfId="48" priority="61" stopIfTrue="1"/>
  </conditionalFormatting>
  <conditionalFormatting sqref="C92">
    <cfRule type="duplicateValues" dxfId="47" priority="38" stopIfTrue="1"/>
    <cfRule type="duplicateValues" dxfId="46" priority="37" stopIfTrue="1"/>
  </conditionalFormatting>
  <conditionalFormatting sqref="C101:C102">
    <cfRule type="duplicateValues" dxfId="45" priority="70" stopIfTrue="1"/>
    <cfRule type="duplicateValues" dxfId="44" priority="69" stopIfTrue="1"/>
  </conditionalFormatting>
  <conditionalFormatting sqref="C105">
    <cfRule type="duplicateValues" dxfId="43" priority="65" stopIfTrue="1"/>
    <cfRule type="duplicateValues" dxfId="42" priority="66" stopIfTrue="1"/>
  </conditionalFormatting>
  <conditionalFormatting sqref="C106">
    <cfRule type="duplicateValues" dxfId="41" priority="85" stopIfTrue="1"/>
    <cfRule type="duplicateValues" dxfId="40" priority="86" stopIfTrue="1"/>
  </conditionalFormatting>
  <conditionalFormatting sqref="C107">
    <cfRule type="duplicateValues" dxfId="39" priority="50" stopIfTrue="1"/>
    <cfRule type="duplicateValues" dxfId="38" priority="49" stopIfTrue="1"/>
  </conditionalFormatting>
  <conditionalFormatting sqref="C108:C115">
    <cfRule type="duplicateValues" dxfId="37" priority="34" stopIfTrue="1"/>
    <cfRule type="duplicateValues" dxfId="36" priority="33" stopIfTrue="1"/>
  </conditionalFormatting>
  <conditionalFormatting sqref="C118">
    <cfRule type="duplicateValues" dxfId="35" priority="99" stopIfTrue="1"/>
    <cfRule type="duplicateValues" dxfId="34" priority="100" stopIfTrue="1"/>
  </conditionalFormatting>
  <conditionalFormatting sqref="C119:C122">
    <cfRule type="duplicateValues" dxfId="33" priority="420" stopIfTrue="1"/>
    <cfRule type="duplicateValues" dxfId="32" priority="421" stopIfTrue="1"/>
  </conditionalFormatting>
  <conditionalFormatting sqref="C136">
    <cfRule type="duplicateValues" dxfId="31" priority="91" stopIfTrue="1"/>
    <cfRule type="duplicateValues" dxfId="30" priority="92" stopIfTrue="1"/>
  </conditionalFormatting>
  <conditionalFormatting sqref="C156:C159">
    <cfRule type="duplicateValues" dxfId="29" priority="373" stopIfTrue="1"/>
  </conditionalFormatting>
  <pageMargins left="0.31496062992125984" right="0.23622047244094491" top="0.27559055118110237" bottom="0.19685039370078741" header="0.19685039370078741" footer="0.31496062992125984"/>
  <pageSetup paperSize="9" scale="22" fitToHeight="0" orientation="landscape" verticalDpi="300" r:id="rId1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DA8349-06AB-4FB5-81F9-6771C93502AD}">
  <sheetPr>
    <tabColor rgb="FF00B0F0"/>
    <pageSetUpPr fitToPage="1"/>
  </sheetPr>
  <dimension ref="A1:AG106"/>
  <sheetViews>
    <sheetView zoomScale="80" zoomScaleNormal="80" zoomScaleSheetLayoutView="98" workbookViewId="0">
      <pane xSplit="2" ySplit="7" topLeftCell="C8" activePane="bottomRight" state="frozen"/>
      <selection pane="topRight" activeCell="C1" sqref="C1"/>
      <selection pane="bottomLeft" activeCell="A5" sqref="A5"/>
      <selection pane="bottomRight" activeCell="E13" sqref="E13"/>
    </sheetView>
  </sheetViews>
  <sheetFormatPr defaultRowHeight="15" x14ac:dyDescent="0.25"/>
  <cols>
    <col min="1" max="1" width="4.28515625" style="57" customWidth="1"/>
    <col min="2" max="2" width="52.7109375" style="7" customWidth="1"/>
    <col min="3" max="3" width="9.28515625" style="57" customWidth="1"/>
    <col min="4" max="4" width="17.7109375" style="57" customWidth="1"/>
    <col min="5" max="5" width="65.140625" style="7" customWidth="1"/>
    <col min="6" max="6" width="10.140625" style="7" customWidth="1"/>
    <col min="7" max="7" width="10.140625" style="58" customWidth="1"/>
    <col min="8" max="8" width="11.7109375" style="58" customWidth="1"/>
    <col min="9" max="9" width="13.85546875" style="59" customWidth="1"/>
    <col min="10" max="10" width="16.7109375" style="59" customWidth="1"/>
    <col min="11" max="11" width="16.5703125" style="60" customWidth="1"/>
    <col min="12" max="12" width="15.140625" style="59" customWidth="1"/>
    <col min="13" max="13" width="19.7109375" style="7" customWidth="1"/>
    <col min="14" max="14" width="19.5703125" style="57" customWidth="1"/>
    <col min="15" max="17" width="13.7109375" style="57" customWidth="1"/>
    <col min="18" max="18" width="34.42578125" style="7" customWidth="1"/>
    <col min="19" max="19" width="26.7109375" style="154" customWidth="1"/>
    <col min="20" max="20" width="15.28515625" style="61" customWidth="1"/>
    <col min="21" max="21" width="24.5703125" style="83" bestFit="1" customWidth="1"/>
    <col min="22" max="22" width="18.140625" style="134" customWidth="1"/>
    <col min="23" max="33" width="18.140625" style="85" customWidth="1"/>
    <col min="34" max="259" width="9.140625" style="7"/>
    <col min="260" max="260" width="4.28515625" style="7" customWidth="1"/>
    <col min="261" max="261" width="52.7109375" style="7" customWidth="1"/>
    <col min="262" max="262" width="9.28515625" style="7" customWidth="1"/>
    <col min="263" max="263" width="17.7109375" style="7" customWidth="1"/>
    <col min="264" max="264" width="65.140625" style="7" customWidth="1"/>
    <col min="265" max="266" width="10.140625" style="7" customWidth="1"/>
    <col min="267" max="267" width="11.7109375" style="7" customWidth="1"/>
    <col min="268" max="268" width="13.85546875" style="7" customWidth="1"/>
    <col min="269" max="269" width="16.7109375" style="7" customWidth="1"/>
    <col min="270" max="270" width="16.5703125" style="7" customWidth="1"/>
    <col min="271" max="271" width="15.140625" style="7" customWidth="1"/>
    <col min="272" max="272" width="19.7109375" style="7" customWidth="1"/>
    <col min="273" max="273" width="19.5703125" style="7" customWidth="1"/>
    <col min="274" max="274" width="13.7109375" style="7" customWidth="1"/>
    <col min="275" max="275" width="34.42578125" style="7" customWidth="1"/>
    <col min="276" max="276" width="26.7109375" style="7" customWidth="1"/>
    <col min="277" max="277" width="15.28515625" style="7" customWidth="1"/>
    <col min="278" max="278" width="9.140625" style="7"/>
    <col min="279" max="279" width="18.28515625" style="7" customWidth="1"/>
    <col min="280" max="515" width="9.140625" style="7"/>
    <col min="516" max="516" width="4.28515625" style="7" customWidth="1"/>
    <col min="517" max="517" width="52.7109375" style="7" customWidth="1"/>
    <col min="518" max="518" width="9.28515625" style="7" customWidth="1"/>
    <col min="519" max="519" width="17.7109375" style="7" customWidth="1"/>
    <col min="520" max="520" width="65.140625" style="7" customWidth="1"/>
    <col min="521" max="522" width="10.140625" style="7" customWidth="1"/>
    <col min="523" max="523" width="11.7109375" style="7" customWidth="1"/>
    <col min="524" max="524" width="13.85546875" style="7" customWidth="1"/>
    <col min="525" max="525" width="16.7109375" style="7" customWidth="1"/>
    <col min="526" max="526" width="16.5703125" style="7" customWidth="1"/>
    <col min="527" max="527" width="15.140625" style="7" customWidth="1"/>
    <col min="528" max="528" width="19.7109375" style="7" customWidth="1"/>
    <col min="529" max="529" width="19.5703125" style="7" customWidth="1"/>
    <col min="530" max="530" width="13.7109375" style="7" customWidth="1"/>
    <col min="531" max="531" width="34.42578125" style="7" customWidth="1"/>
    <col min="532" max="532" width="26.7109375" style="7" customWidth="1"/>
    <col min="533" max="533" width="15.28515625" style="7" customWidth="1"/>
    <col min="534" max="534" width="9.140625" style="7"/>
    <col min="535" max="535" width="18.28515625" style="7" customWidth="1"/>
    <col min="536" max="771" width="9.140625" style="7"/>
    <col min="772" max="772" width="4.28515625" style="7" customWidth="1"/>
    <col min="773" max="773" width="52.7109375" style="7" customWidth="1"/>
    <col min="774" max="774" width="9.28515625" style="7" customWidth="1"/>
    <col min="775" max="775" width="17.7109375" style="7" customWidth="1"/>
    <col min="776" max="776" width="65.140625" style="7" customWidth="1"/>
    <col min="777" max="778" width="10.140625" style="7" customWidth="1"/>
    <col min="779" max="779" width="11.7109375" style="7" customWidth="1"/>
    <col min="780" max="780" width="13.85546875" style="7" customWidth="1"/>
    <col min="781" max="781" width="16.7109375" style="7" customWidth="1"/>
    <col min="782" max="782" width="16.5703125" style="7" customWidth="1"/>
    <col min="783" max="783" width="15.140625" style="7" customWidth="1"/>
    <col min="784" max="784" width="19.7109375" style="7" customWidth="1"/>
    <col min="785" max="785" width="19.5703125" style="7" customWidth="1"/>
    <col min="786" max="786" width="13.7109375" style="7" customWidth="1"/>
    <col min="787" max="787" width="34.42578125" style="7" customWidth="1"/>
    <col min="788" max="788" width="26.7109375" style="7" customWidth="1"/>
    <col min="789" max="789" width="15.28515625" style="7" customWidth="1"/>
    <col min="790" max="790" width="9.140625" style="7"/>
    <col min="791" max="791" width="18.28515625" style="7" customWidth="1"/>
    <col min="792" max="1027" width="9.140625" style="7"/>
    <col min="1028" max="1028" width="4.28515625" style="7" customWidth="1"/>
    <col min="1029" max="1029" width="52.7109375" style="7" customWidth="1"/>
    <col min="1030" max="1030" width="9.28515625" style="7" customWidth="1"/>
    <col min="1031" max="1031" width="17.7109375" style="7" customWidth="1"/>
    <col min="1032" max="1032" width="65.140625" style="7" customWidth="1"/>
    <col min="1033" max="1034" width="10.140625" style="7" customWidth="1"/>
    <col min="1035" max="1035" width="11.7109375" style="7" customWidth="1"/>
    <col min="1036" max="1036" width="13.85546875" style="7" customWidth="1"/>
    <col min="1037" max="1037" width="16.7109375" style="7" customWidth="1"/>
    <col min="1038" max="1038" width="16.5703125" style="7" customWidth="1"/>
    <col min="1039" max="1039" width="15.140625" style="7" customWidth="1"/>
    <col min="1040" max="1040" width="19.7109375" style="7" customWidth="1"/>
    <col min="1041" max="1041" width="19.5703125" style="7" customWidth="1"/>
    <col min="1042" max="1042" width="13.7109375" style="7" customWidth="1"/>
    <col min="1043" max="1043" width="34.42578125" style="7" customWidth="1"/>
    <col min="1044" max="1044" width="26.7109375" style="7" customWidth="1"/>
    <col min="1045" max="1045" width="15.28515625" style="7" customWidth="1"/>
    <col min="1046" max="1046" width="9.140625" style="7"/>
    <col min="1047" max="1047" width="18.28515625" style="7" customWidth="1"/>
    <col min="1048" max="1283" width="9.140625" style="7"/>
    <col min="1284" max="1284" width="4.28515625" style="7" customWidth="1"/>
    <col min="1285" max="1285" width="52.7109375" style="7" customWidth="1"/>
    <col min="1286" max="1286" width="9.28515625" style="7" customWidth="1"/>
    <col min="1287" max="1287" width="17.7109375" style="7" customWidth="1"/>
    <col min="1288" max="1288" width="65.140625" style="7" customWidth="1"/>
    <col min="1289" max="1290" width="10.140625" style="7" customWidth="1"/>
    <col min="1291" max="1291" width="11.7109375" style="7" customWidth="1"/>
    <col min="1292" max="1292" width="13.85546875" style="7" customWidth="1"/>
    <col min="1293" max="1293" width="16.7109375" style="7" customWidth="1"/>
    <col min="1294" max="1294" width="16.5703125" style="7" customWidth="1"/>
    <col min="1295" max="1295" width="15.140625" style="7" customWidth="1"/>
    <col min="1296" max="1296" width="19.7109375" style="7" customWidth="1"/>
    <col min="1297" max="1297" width="19.5703125" style="7" customWidth="1"/>
    <col min="1298" max="1298" width="13.7109375" style="7" customWidth="1"/>
    <col min="1299" max="1299" width="34.42578125" style="7" customWidth="1"/>
    <col min="1300" max="1300" width="26.7109375" style="7" customWidth="1"/>
    <col min="1301" max="1301" width="15.28515625" style="7" customWidth="1"/>
    <col min="1302" max="1302" width="9.140625" style="7"/>
    <col min="1303" max="1303" width="18.28515625" style="7" customWidth="1"/>
    <col min="1304" max="1539" width="9.140625" style="7"/>
    <col min="1540" max="1540" width="4.28515625" style="7" customWidth="1"/>
    <col min="1541" max="1541" width="52.7109375" style="7" customWidth="1"/>
    <col min="1542" max="1542" width="9.28515625" style="7" customWidth="1"/>
    <col min="1543" max="1543" width="17.7109375" style="7" customWidth="1"/>
    <col min="1544" max="1544" width="65.140625" style="7" customWidth="1"/>
    <col min="1545" max="1546" width="10.140625" style="7" customWidth="1"/>
    <col min="1547" max="1547" width="11.7109375" style="7" customWidth="1"/>
    <col min="1548" max="1548" width="13.85546875" style="7" customWidth="1"/>
    <col min="1549" max="1549" width="16.7109375" style="7" customWidth="1"/>
    <col min="1550" max="1550" width="16.5703125" style="7" customWidth="1"/>
    <col min="1551" max="1551" width="15.140625" style="7" customWidth="1"/>
    <col min="1552" max="1552" width="19.7109375" style="7" customWidth="1"/>
    <col min="1553" max="1553" width="19.5703125" style="7" customWidth="1"/>
    <col min="1554" max="1554" width="13.7109375" style="7" customWidth="1"/>
    <col min="1555" max="1555" width="34.42578125" style="7" customWidth="1"/>
    <col min="1556" max="1556" width="26.7109375" style="7" customWidth="1"/>
    <col min="1557" max="1557" width="15.28515625" style="7" customWidth="1"/>
    <col min="1558" max="1558" width="9.140625" style="7"/>
    <col min="1559" max="1559" width="18.28515625" style="7" customWidth="1"/>
    <col min="1560" max="1795" width="9.140625" style="7"/>
    <col min="1796" max="1796" width="4.28515625" style="7" customWidth="1"/>
    <col min="1797" max="1797" width="52.7109375" style="7" customWidth="1"/>
    <col min="1798" max="1798" width="9.28515625" style="7" customWidth="1"/>
    <col min="1799" max="1799" width="17.7109375" style="7" customWidth="1"/>
    <col min="1800" max="1800" width="65.140625" style="7" customWidth="1"/>
    <col min="1801" max="1802" width="10.140625" style="7" customWidth="1"/>
    <col min="1803" max="1803" width="11.7109375" style="7" customWidth="1"/>
    <col min="1804" max="1804" width="13.85546875" style="7" customWidth="1"/>
    <col min="1805" max="1805" width="16.7109375" style="7" customWidth="1"/>
    <col min="1806" max="1806" width="16.5703125" style="7" customWidth="1"/>
    <col min="1807" max="1807" width="15.140625" style="7" customWidth="1"/>
    <col min="1808" max="1808" width="19.7109375" style="7" customWidth="1"/>
    <col min="1809" max="1809" width="19.5703125" style="7" customWidth="1"/>
    <col min="1810" max="1810" width="13.7109375" style="7" customWidth="1"/>
    <col min="1811" max="1811" width="34.42578125" style="7" customWidth="1"/>
    <col min="1812" max="1812" width="26.7109375" style="7" customWidth="1"/>
    <col min="1813" max="1813" width="15.28515625" style="7" customWidth="1"/>
    <col min="1814" max="1814" width="9.140625" style="7"/>
    <col min="1815" max="1815" width="18.28515625" style="7" customWidth="1"/>
    <col min="1816" max="2051" width="9.140625" style="7"/>
    <col min="2052" max="2052" width="4.28515625" style="7" customWidth="1"/>
    <col min="2053" max="2053" width="52.7109375" style="7" customWidth="1"/>
    <col min="2054" max="2054" width="9.28515625" style="7" customWidth="1"/>
    <col min="2055" max="2055" width="17.7109375" style="7" customWidth="1"/>
    <col min="2056" max="2056" width="65.140625" style="7" customWidth="1"/>
    <col min="2057" max="2058" width="10.140625" style="7" customWidth="1"/>
    <col min="2059" max="2059" width="11.7109375" style="7" customWidth="1"/>
    <col min="2060" max="2060" width="13.85546875" style="7" customWidth="1"/>
    <col min="2061" max="2061" width="16.7109375" style="7" customWidth="1"/>
    <col min="2062" max="2062" width="16.5703125" style="7" customWidth="1"/>
    <col min="2063" max="2063" width="15.140625" style="7" customWidth="1"/>
    <col min="2064" max="2064" width="19.7109375" style="7" customWidth="1"/>
    <col min="2065" max="2065" width="19.5703125" style="7" customWidth="1"/>
    <col min="2066" max="2066" width="13.7109375" style="7" customWidth="1"/>
    <col min="2067" max="2067" width="34.42578125" style="7" customWidth="1"/>
    <col min="2068" max="2068" width="26.7109375" style="7" customWidth="1"/>
    <col min="2069" max="2069" width="15.28515625" style="7" customWidth="1"/>
    <col min="2070" max="2070" width="9.140625" style="7"/>
    <col min="2071" max="2071" width="18.28515625" style="7" customWidth="1"/>
    <col min="2072" max="2307" width="9.140625" style="7"/>
    <col min="2308" max="2308" width="4.28515625" style="7" customWidth="1"/>
    <col min="2309" max="2309" width="52.7109375" style="7" customWidth="1"/>
    <col min="2310" max="2310" width="9.28515625" style="7" customWidth="1"/>
    <col min="2311" max="2311" width="17.7109375" style="7" customWidth="1"/>
    <col min="2312" max="2312" width="65.140625" style="7" customWidth="1"/>
    <col min="2313" max="2314" width="10.140625" style="7" customWidth="1"/>
    <col min="2315" max="2315" width="11.7109375" style="7" customWidth="1"/>
    <col min="2316" max="2316" width="13.85546875" style="7" customWidth="1"/>
    <col min="2317" max="2317" width="16.7109375" style="7" customWidth="1"/>
    <col min="2318" max="2318" width="16.5703125" style="7" customWidth="1"/>
    <col min="2319" max="2319" width="15.140625" style="7" customWidth="1"/>
    <col min="2320" max="2320" width="19.7109375" style="7" customWidth="1"/>
    <col min="2321" max="2321" width="19.5703125" style="7" customWidth="1"/>
    <col min="2322" max="2322" width="13.7109375" style="7" customWidth="1"/>
    <col min="2323" max="2323" width="34.42578125" style="7" customWidth="1"/>
    <col min="2324" max="2324" width="26.7109375" style="7" customWidth="1"/>
    <col min="2325" max="2325" width="15.28515625" style="7" customWidth="1"/>
    <col min="2326" max="2326" width="9.140625" style="7"/>
    <col min="2327" max="2327" width="18.28515625" style="7" customWidth="1"/>
    <col min="2328" max="2563" width="9.140625" style="7"/>
    <col min="2564" max="2564" width="4.28515625" style="7" customWidth="1"/>
    <col min="2565" max="2565" width="52.7109375" style="7" customWidth="1"/>
    <col min="2566" max="2566" width="9.28515625" style="7" customWidth="1"/>
    <col min="2567" max="2567" width="17.7109375" style="7" customWidth="1"/>
    <col min="2568" max="2568" width="65.140625" style="7" customWidth="1"/>
    <col min="2569" max="2570" width="10.140625" style="7" customWidth="1"/>
    <col min="2571" max="2571" width="11.7109375" style="7" customWidth="1"/>
    <col min="2572" max="2572" width="13.85546875" style="7" customWidth="1"/>
    <col min="2573" max="2573" width="16.7109375" style="7" customWidth="1"/>
    <col min="2574" max="2574" width="16.5703125" style="7" customWidth="1"/>
    <col min="2575" max="2575" width="15.140625" style="7" customWidth="1"/>
    <col min="2576" max="2576" width="19.7109375" style="7" customWidth="1"/>
    <col min="2577" max="2577" width="19.5703125" style="7" customWidth="1"/>
    <col min="2578" max="2578" width="13.7109375" style="7" customWidth="1"/>
    <col min="2579" max="2579" width="34.42578125" style="7" customWidth="1"/>
    <col min="2580" max="2580" width="26.7109375" style="7" customWidth="1"/>
    <col min="2581" max="2581" width="15.28515625" style="7" customWidth="1"/>
    <col min="2582" max="2582" width="9.140625" style="7"/>
    <col min="2583" max="2583" width="18.28515625" style="7" customWidth="1"/>
    <col min="2584" max="2819" width="9.140625" style="7"/>
    <col min="2820" max="2820" width="4.28515625" style="7" customWidth="1"/>
    <col min="2821" max="2821" width="52.7109375" style="7" customWidth="1"/>
    <col min="2822" max="2822" width="9.28515625" style="7" customWidth="1"/>
    <col min="2823" max="2823" width="17.7109375" style="7" customWidth="1"/>
    <col min="2824" max="2824" width="65.140625" style="7" customWidth="1"/>
    <col min="2825" max="2826" width="10.140625" style="7" customWidth="1"/>
    <col min="2827" max="2827" width="11.7109375" style="7" customWidth="1"/>
    <col min="2828" max="2828" width="13.85546875" style="7" customWidth="1"/>
    <col min="2829" max="2829" width="16.7109375" style="7" customWidth="1"/>
    <col min="2830" max="2830" width="16.5703125" style="7" customWidth="1"/>
    <col min="2831" max="2831" width="15.140625" style="7" customWidth="1"/>
    <col min="2832" max="2832" width="19.7109375" style="7" customWidth="1"/>
    <col min="2833" max="2833" width="19.5703125" style="7" customWidth="1"/>
    <col min="2834" max="2834" width="13.7109375" style="7" customWidth="1"/>
    <col min="2835" max="2835" width="34.42578125" style="7" customWidth="1"/>
    <col min="2836" max="2836" width="26.7109375" style="7" customWidth="1"/>
    <col min="2837" max="2837" width="15.28515625" style="7" customWidth="1"/>
    <col min="2838" max="2838" width="9.140625" style="7"/>
    <col min="2839" max="2839" width="18.28515625" style="7" customWidth="1"/>
    <col min="2840" max="3075" width="9.140625" style="7"/>
    <col min="3076" max="3076" width="4.28515625" style="7" customWidth="1"/>
    <col min="3077" max="3077" width="52.7109375" style="7" customWidth="1"/>
    <col min="3078" max="3078" width="9.28515625" style="7" customWidth="1"/>
    <col min="3079" max="3079" width="17.7109375" style="7" customWidth="1"/>
    <col min="3080" max="3080" width="65.140625" style="7" customWidth="1"/>
    <col min="3081" max="3082" width="10.140625" style="7" customWidth="1"/>
    <col min="3083" max="3083" width="11.7109375" style="7" customWidth="1"/>
    <col min="3084" max="3084" width="13.85546875" style="7" customWidth="1"/>
    <col min="3085" max="3085" width="16.7109375" style="7" customWidth="1"/>
    <col min="3086" max="3086" width="16.5703125" style="7" customWidth="1"/>
    <col min="3087" max="3087" width="15.140625" style="7" customWidth="1"/>
    <col min="3088" max="3088" width="19.7109375" style="7" customWidth="1"/>
    <col min="3089" max="3089" width="19.5703125" style="7" customWidth="1"/>
    <col min="3090" max="3090" width="13.7109375" style="7" customWidth="1"/>
    <col min="3091" max="3091" width="34.42578125" style="7" customWidth="1"/>
    <col min="3092" max="3092" width="26.7109375" style="7" customWidth="1"/>
    <col min="3093" max="3093" width="15.28515625" style="7" customWidth="1"/>
    <col min="3094" max="3094" width="9.140625" style="7"/>
    <col min="3095" max="3095" width="18.28515625" style="7" customWidth="1"/>
    <col min="3096" max="3331" width="9.140625" style="7"/>
    <col min="3332" max="3332" width="4.28515625" style="7" customWidth="1"/>
    <col min="3333" max="3333" width="52.7109375" style="7" customWidth="1"/>
    <col min="3334" max="3334" width="9.28515625" style="7" customWidth="1"/>
    <col min="3335" max="3335" width="17.7109375" style="7" customWidth="1"/>
    <col min="3336" max="3336" width="65.140625" style="7" customWidth="1"/>
    <col min="3337" max="3338" width="10.140625" style="7" customWidth="1"/>
    <col min="3339" max="3339" width="11.7109375" style="7" customWidth="1"/>
    <col min="3340" max="3340" width="13.85546875" style="7" customWidth="1"/>
    <col min="3341" max="3341" width="16.7109375" style="7" customWidth="1"/>
    <col min="3342" max="3342" width="16.5703125" style="7" customWidth="1"/>
    <col min="3343" max="3343" width="15.140625" style="7" customWidth="1"/>
    <col min="3344" max="3344" width="19.7109375" style="7" customWidth="1"/>
    <col min="3345" max="3345" width="19.5703125" style="7" customWidth="1"/>
    <col min="3346" max="3346" width="13.7109375" style="7" customWidth="1"/>
    <col min="3347" max="3347" width="34.42578125" style="7" customWidth="1"/>
    <col min="3348" max="3348" width="26.7109375" style="7" customWidth="1"/>
    <col min="3349" max="3349" width="15.28515625" style="7" customWidth="1"/>
    <col min="3350" max="3350" width="9.140625" style="7"/>
    <col min="3351" max="3351" width="18.28515625" style="7" customWidth="1"/>
    <col min="3352" max="3587" width="9.140625" style="7"/>
    <col min="3588" max="3588" width="4.28515625" style="7" customWidth="1"/>
    <col min="3589" max="3589" width="52.7109375" style="7" customWidth="1"/>
    <col min="3590" max="3590" width="9.28515625" style="7" customWidth="1"/>
    <col min="3591" max="3591" width="17.7109375" style="7" customWidth="1"/>
    <col min="3592" max="3592" width="65.140625" style="7" customWidth="1"/>
    <col min="3593" max="3594" width="10.140625" style="7" customWidth="1"/>
    <col min="3595" max="3595" width="11.7109375" style="7" customWidth="1"/>
    <col min="3596" max="3596" width="13.85546875" style="7" customWidth="1"/>
    <col min="3597" max="3597" width="16.7109375" style="7" customWidth="1"/>
    <col min="3598" max="3598" width="16.5703125" style="7" customWidth="1"/>
    <col min="3599" max="3599" width="15.140625" style="7" customWidth="1"/>
    <col min="3600" max="3600" width="19.7109375" style="7" customWidth="1"/>
    <col min="3601" max="3601" width="19.5703125" style="7" customWidth="1"/>
    <col min="3602" max="3602" width="13.7109375" style="7" customWidth="1"/>
    <col min="3603" max="3603" width="34.42578125" style="7" customWidth="1"/>
    <col min="3604" max="3604" width="26.7109375" style="7" customWidth="1"/>
    <col min="3605" max="3605" width="15.28515625" style="7" customWidth="1"/>
    <col min="3606" max="3606" width="9.140625" style="7"/>
    <col min="3607" max="3607" width="18.28515625" style="7" customWidth="1"/>
    <col min="3608" max="3843" width="9.140625" style="7"/>
    <col min="3844" max="3844" width="4.28515625" style="7" customWidth="1"/>
    <col min="3845" max="3845" width="52.7109375" style="7" customWidth="1"/>
    <col min="3846" max="3846" width="9.28515625" style="7" customWidth="1"/>
    <col min="3847" max="3847" width="17.7109375" style="7" customWidth="1"/>
    <col min="3848" max="3848" width="65.140625" style="7" customWidth="1"/>
    <col min="3849" max="3850" width="10.140625" style="7" customWidth="1"/>
    <col min="3851" max="3851" width="11.7109375" style="7" customWidth="1"/>
    <col min="3852" max="3852" width="13.85546875" style="7" customWidth="1"/>
    <col min="3853" max="3853" width="16.7109375" style="7" customWidth="1"/>
    <col min="3854" max="3854" width="16.5703125" style="7" customWidth="1"/>
    <col min="3855" max="3855" width="15.140625" style="7" customWidth="1"/>
    <col min="3856" max="3856" width="19.7109375" style="7" customWidth="1"/>
    <col min="3857" max="3857" width="19.5703125" style="7" customWidth="1"/>
    <col min="3858" max="3858" width="13.7109375" style="7" customWidth="1"/>
    <col min="3859" max="3859" width="34.42578125" style="7" customWidth="1"/>
    <col min="3860" max="3860" width="26.7109375" style="7" customWidth="1"/>
    <col min="3861" max="3861" width="15.28515625" style="7" customWidth="1"/>
    <col min="3862" max="3862" width="9.140625" style="7"/>
    <col min="3863" max="3863" width="18.28515625" style="7" customWidth="1"/>
    <col min="3864" max="4099" width="9.140625" style="7"/>
    <col min="4100" max="4100" width="4.28515625" style="7" customWidth="1"/>
    <col min="4101" max="4101" width="52.7109375" style="7" customWidth="1"/>
    <col min="4102" max="4102" width="9.28515625" style="7" customWidth="1"/>
    <col min="4103" max="4103" width="17.7109375" style="7" customWidth="1"/>
    <col min="4104" max="4104" width="65.140625" style="7" customWidth="1"/>
    <col min="4105" max="4106" width="10.140625" style="7" customWidth="1"/>
    <col min="4107" max="4107" width="11.7109375" style="7" customWidth="1"/>
    <col min="4108" max="4108" width="13.85546875" style="7" customWidth="1"/>
    <col min="4109" max="4109" width="16.7109375" style="7" customWidth="1"/>
    <col min="4110" max="4110" width="16.5703125" style="7" customWidth="1"/>
    <col min="4111" max="4111" width="15.140625" style="7" customWidth="1"/>
    <col min="4112" max="4112" width="19.7109375" style="7" customWidth="1"/>
    <col min="4113" max="4113" width="19.5703125" style="7" customWidth="1"/>
    <col min="4114" max="4114" width="13.7109375" style="7" customWidth="1"/>
    <col min="4115" max="4115" width="34.42578125" style="7" customWidth="1"/>
    <col min="4116" max="4116" width="26.7109375" style="7" customWidth="1"/>
    <col min="4117" max="4117" width="15.28515625" style="7" customWidth="1"/>
    <col min="4118" max="4118" width="9.140625" style="7"/>
    <col min="4119" max="4119" width="18.28515625" style="7" customWidth="1"/>
    <col min="4120" max="4355" width="9.140625" style="7"/>
    <col min="4356" max="4356" width="4.28515625" style="7" customWidth="1"/>
    <col min="4357" max="4357" width="52.7109375" style="7" customWidth="1"/>
    <col min="4358" max="4358" width="9.28515625" style="7" customWidth="1"/>
    <col min="4359" max="4359" width="17.7109375" style="7" customWidth="1"/>
    <col min="4360" max="4360" width="65.140625" style="7" customWidth="1"/>
    <col min="4361" max="4362" width="10.140625" style="7" customWidth="1"/>
    <col min="4363" max="4363" width="11.7109375" style="7" customWidth="1"/>
    <col min="4364" max="4364" width="13.85546875" style="7" customWidth="1"/>
    <col min="4365" max="4365" width="16.7109375" style="7" customWidth="1"/>
    <col min="4366" max="4366" width="16.5703125" style="7" customWidth="1"/>
    <col min="4367" max="4367" width="15.140625" style="7" customWidth="1"/>
    <col min="4368" max="4368" width="19.7109375" style="7" customWidth="1"/>
    <col min="4369" max="4369" width="19.5703125" style="7" customWidth="1"/>
    <col min="4370" max="4370" width="13.7109375" style="7" customWidth="1"/>
    <col min="4371" max="4371" width="34.42578125" style="7" customWidth="1"/>
    <col min="4372" max="4372" width="26.7109375" style="7" customWidth="1"/>
    <col min="4373" max="4373" width="15.28515625" style="7" customWidth="1"/>
    <col min="4374" max="4374" width="9.140625" style="7"/>
    <col min="4375" max="4375" width="18.28515625" style="7" customWidth="1"/>
    <col min="4376" max="4611" width="9.140625" style="7"/>
    <col min="4612" max="4612" width="4.28515625" style="7" customWidth="1"/>
    <col min="4613" max="4613" width="52.7109375" style="7" customWidth="1"/>
    <col min="4614" max="4614" width="9.28515625" style="7" customWidth="1"/>
    <col min="4615" max="4615" width="17.7109375" style="7" customWidth="1"/>
    <col min="4616" max="4616" width="65.140625" style="7" customWidth="1"/>
    <col min="4617" max="4618" width="10.140625" style="7" customWidth="1"/>
    <col min="4619" max="4619" width="11.7109375" style="7" customWidth="1"/>
    <col min="4620" max="4620" width="13.85546875" style="7" customWidth="1"/>
    <col min="4621" max="4621" width="16.7109375" style="7" customWidth="1"/>
    <col min="4622" max="4622" width="16.5703125" style="7" customWidth="1"/>
    <col min="4623" max="4623" width="15.140625" style="7" customWidth="1"/>
    <col min="4624" max="4624" width="19.7109375" style="7" customWidth="1"/>
    <col min="4625" max="4625" width="19.5703125" style="7" customWidth="1"/>
    <col min="4626" max="4626" width="13.7109375" style="7" customWidth="1"/>
    <col min="4627" max="4627" width="34.42578125" style="7" customWidth="1"/>
    <col min="4628" max="4628" width="26.7109375" style="7" customWidth="1"/>
    <col min="4629" max="4629" width="15.28515625" style="7" customWidth="1"/>
    <col min="4630" max="4630" width="9.140625" style="7"/>
    <col min="4631" max="4631" width="18.28515625" style="7" customWidth="1"/>
    <col min="4632" max="4867" width="9.140625" style="7"/>
    <col min="4868" max="4868" width="4.28515625" style="7" customWidth="1"/>
    <col min="4869" max="4869" width="52.7109375" style="7" customWidth="1"/>
    <col min="4870" max="4870" width="9.28515625" style="7" customWidth="1"/>
    <col min="4871" max="4871" width="17.7109375" style="7" customWidth="1"/>
    <col min="4872" max="4872" width="65.140625" style="7" customWidth="1"/>
    <col min="4873" max="4874" width="10.140625" style="7" customWidth="1"/>
    <col min="4875" max="4875" width="11.7109375" style="7" customWidth="1"/>
    <col min="4876" max="4876" width="13.85546875" style="7" customWidth="1"/>
    <col min="4877" max="4877" width="16.7109375" style="7" customWidth="1"/>
    <col min="4878" max="4878" width="16.5703125" style="7" customWidth="1"/>
    <col min="4879" max="4879" width="15.140625" style="7" customWidth="1"/>
    <col min="4880" max="4880" width="19.7109375" style="7" customWidth="1"/>
    <col min="4881" max="4881" width="19.5703125" style="7" customWidth="1"/>
    <col min="4882" max="4882" width="13.7109375" style="7" customWidth="1"/>
    <col min="4883" max="4883" width="34.42578125" style="7" customWidth="1"/>
    <col min="4884" max="4884" width="26.7109375" style="7" customWidth="1"/>
    <col min="4885" max="4885" width="15.28515625" style="7" customWidth="1"/>
    <col min="4886" max="4886" width="9.140625" style="7"/>
    <col min="4887" max="4887" width="18.28515625" style="7" customWidth="1"/>
    <col min="4888" max="5123" width="9.140625" style="7"/>
    <col min="5124" max="5124" width="4.28515625" style="7" customWidth="1"/>
    <col min="5125" max="5125" width="52.7109375" style="7" customWidth="1"/>
    <col min="5126" max="5126" width="9.28515625" style="7" customWidth="1"/>
    <col min="5127" max="5127" width="17.7109375" style="7" customWidth="1"/>
    <col min="5128" max="5128" width="65.140625" style="7" customWidth="1"/>
    <col min="5129" max="5130" width="10.140625" style="7" customWidth="1"/>
    <col min="5131" max="5131" width="11.7109375" style="7" customWidth="1"/>
    <col min="5132" max="5132" width="13.85546875" style="7" customWidth="1"/>
    <col min="5133" max="5133" width="16.7109375" style="7" customWidth="1"/>
    <col min="5134" max="5134" width="16.5703125" style="7" customWidth="1"/>
    <col min="5135" max="5135" width="15.140625" style="7" customWidth="1"/>
    <col min="5136" max="5136" width="19.7109375" style="7" customWidth="1"/>
    <col min="5137" max="5137" width="19.5703125" style="7" customWidth="1"/>
    <col min="5138" max="5138" width="13.7109375" style="7" customWidth="1"/>
    <col min="5139" max="5139" width="34.42578125" style="7" customWidth="1"/>
    <col min="5140" max="5140" width="26.7109375" style="7" customWidth="1"/>
    <col min="5141" max="5141" width="15.28515625" style="7" customWidth="1"/>
    <col min="5142" max="5142" width="9.140625" style="7"/>
    <col min="5143" max="5143" width="18.28515625" style="7" customWidth="1"/>
    <col min="5144" max="5379" width="9.140625" style="7"/>
    <col min="5380" max="5380" width="4.28515625" style="7" customWidth="1"/>
    <col min="5381" max="5381" width="52.7109375" style="7" customWidth="1"/>
    <col min="5382" max="5382" width="9.28515625" style="7" customWidth="1"/>
    <col min="5383" max="5383" width="17.7109375" style="7" customWidth="1"/>
    <col min="5384" max="5384" width="65.140625" style="7" customWidth="1"/>
    <col min="5385" max="5386" width="10.140625" style="7" customWidth="1"/>
    <col min="5387" max="5387" width="11.7109375" style="7" customWidth="1"/>
    <col min="5388" max="5388" width="13.85546875" style="7" customWidth="1"/>
    <col min="5389" max="5389" width="16.7109375" style="7" customWidth="1"/>
    <col min="5390" max="5390" width="16.5703125" style="7" customWidth="1"/>
    <col min="5391" max="5391" width="15.140625" style="7" customWidth="1"/>
    <col min="5392" max="5392" width="19.7109375" style="7" customWidth="1"/>
    <col min="5393" max="5393" width="19.5703125" style="7" customWidth="1"/>
    <col min="5394" max="5394" width="13.7109375" style="7" customWidth="1"/>
    <col min="5395" max="5395" width="34.42578125" style="7" customWidth="1"/>
    <col min="5396" max="5396" width="26.7109375" style="7" customWidth="1"/>
    <col min="5397" max="5397" width="15.28515625" style="7" customWidth="1"/>
    <col min="5398" max="5398" width="9.140625" style="7"/>
    <col min="5399" max="5399" width="18.28515625" style="7" customWidth="1"/>
    <col min="5400" max="5635" width="9.140625" style="7"/>
    <col min="5636" max="5636" width="4.28515625" style="7" customWidth="1"/>
    <col min="5637" max="5637" width="52.7109375" style="7" customWidth="1"/>
    <col min="5638" max="5638" width="9.28515625" style="7" customWidth="1"/>
    <col min="5639" max="5639" width="17.7109375" style="7" customWidth="1"/>
    <col min="5640" max="5640" width="65.140625" style="7" customWidth="1"/>
    <col min="5641" max="5642" width="10.140625" style="7" customWidth="1"/>
    <col min="5643" max="5643" width="11.7109375" style="7" customWidth="1"/>
    <col min="5644" max="5644" width="13.85546875" style="7" customWidth="1"/>
    <col min="5645" max="5645" width="16.7109375" style="7" customWidth="1"/>
    <col min="5646" max="5646" width="16.5703125" style="7" customWidth="1"/>
    <col min="5647" max="5647" width="15.140625" style="7" customWidth="1"/>
    <col min="5648" max="5648" width="19.7109375" style="7" customWidth="1"/>
    <col min="5649" max="5649" width="19.5703125" style="7" customWidth="1"/>
    <col min="5650" max="5650" width="13.7109375" style="7" customWidth="1"/>
    <col min="5651" max="5651" width="34.42578125" style="7" customWidth="1"/>
    <col min="5652" max="5652" width="26.7109375" style="7" customWidth="1"/>
    <col min="5653" max="5653" width="15.28515625" style="7" customWidth="1"/>
    <col min="5654" max="5654" width="9.140625" style="7"/>
    <col min="5655" max="5655" width="18.28515625" style="7" customWidth="1"/>
    <col min="5656" max="5891" width="9.140625" style="7"/>
    <col min="5892" max="5892" width="4.28515625" style="7" customWidth="1"/>
    <col min="5893" max="5893" width="52.7109375" style="7" customWidth="1"/>
    <col min="5894" max="5894" width="9.28515625" style="7" customWidth="1"/>
    <col min="5895" max="5895" width="17.7109375" style="7" customWidth="1"/>
    <col min="5896" max="5896" width="65.140625" style="7" customWidth="1"/>
    <col min="5897" max="5898" width="10.140625" style="7" customWidth="1"/>
    <col min="5899" max="5899" width="11.7109375" style="7" customWidth="1"/>
    <col min="5900" max="5900" width="13.85546875" style="7" customWidth="1"/>
    <col min="5901" max="5901" width="16.7109375" style="7" customWidth="1"/>
    <col min="5902" max="5902" width="16.5703125" style="7" customWidth="1"/>
    <col min="5903" max="5903" width="15.140625" style="7" customWidth="1"/>
    <col min="5904" max="5904" width="19.7109375" style="7" customWidth="1"/>
    <col min="5905" max="5905" width="19.5703125" style="7" customWidth="1"/>
    <col min="5906" max="5906" width="13.7109375" style="7" customWidth="1"/>
    <col min="5907" max="5907" width="34.42578125" style="7" customWidth="1"/>
    <col min="5908" max="5908" width="26.7109375" style="7" customWidth="1"/>
    <col min="5909" max="5909" width="15.28515625" style="7" customWidth="1"/>
    <col min="5910" max="5910" width="9.140625" style="7"/>
    <col min="5911" max="5911" width="18.28515625" style="7" customWidth="1"/>
    <col min="5912" max="6147" width="9.140625" style="7"/>
    <col min="6148" max="6148" width="4.28515625" style="7" customWidth="1"/>
    <col min="6149" max="6149" width="52.7109375" style="7" customWidth="1"/>
    <col min="6150" max="6150" width="9.28515625" style="7" customWidth="1"/>
    <col min="6151" max="6151" width="17.7109375" style="7" customWidth="1"/>
    <col min="6152" max="6152" width="65.140625" style="7" customWidth="1"/>
    <col min="6153" max="6154" width="10.140625" style="7" customWidth="1"/>
    <col min="6155" max="6155" width="11.7109375" style="7" customWidth="1"/>
    <col min="6156" max="6156" width="13.85546875" style="7" customWidth="1"/>
    <col min="6157" max="6157" width="16.7109375" style="7" customWidth="1"/>
    <col min="6158" max="6158" width="16.5703125" style="7" customWidth="1"/>
    <col min="6159" max="6159" width="15.140625" style="7" customWidth="1"/>
    <col min="6160" max="6160" width="19.7109375" style="7" customWidth="1"/>
    <col min="6161" max="6161" width="19.5703125" style="7" customWidth="1"/>
    <col min="6162" max="6162" width="13.7109375" style="7" customWidth="1"/>
    <col min="6163" max="6163" width="34.42578125" style="7" customWidth="1"/>
    <col min="6164" max="6164" width="26.7109375" style="7" customWidth="1"/>
    <col min="6165" max="6165" width="15.28515625" style="7" customWidth="1"/>
    <col min="6166" max="6166" width="9.140625" style="7"/>
    <col min="6167" max="6167" width="18.28515625" style="7" customWidth="1"/>
    <col min="6168" max="6403" width="9.140625" style="7"/>
    <col min="6404" max="6404" width="4.28515625" style="7" customWidth="1"/>
    <col min="6405" max="6405" width="52.7109375" style="7" customWidth="1"/>
    <col min="6406" max="6406" width="9.28515625" style="7" customWidth="1"/>
    <col min="6407" max="6407" width="17.7109375" style="7" customWidth="1"/>
    <col min="6408" max="6408" width="65.140625" style="7" customWidth="1"/>
    <col min="6409" max="6410" width="10.140625" style="7" customWidth="1"/>
    <col min="6411" max="6411" width="11.7109375" style="7" customWidth="1"/>
    <col min="6412" max="6412" width="13.85546875" style="7" customWidth="1"/>
    <col min="6413" max="6413" width="16.7109375" style="7" customWidth="1"/>
    <col min="6414" max="6414" width="16.5703125" style="7" customWidth="1"/>
    <col min="6415" max="6415" width="15.140625" style="7" customWidth="1"/>
    <col min="6416" max="6416" width="19.7109375" style="7" customWidth="1"/>
    <col min="6417" max="6417" width="19.5703125" style="7" customWidth="1"/>
    <col min="6418" max="6418" width="13.7109375" style="7" customWidth="1"/>
    <col min="6419" max="6419" width="34.42578125" style="7" customWidth="1"/>
    <col min="6420" max="6420" width="26.7109375" style="7" customWidth="1"/>
    <col min="6421" max="6421" width="15.28515625" style="7" customWidth="1"/>
    <col min="6422" max="6422" width="9.140625" style="7"/>
    <col min="6423" max="6423" width="18.28515625" style="7" customWidth="1"/>
    <col min="6424" max="6659" width="9.140625" style="7"/>
    <col min="6660" max="6660" width="4.28515625" style="7" customWidth="1"/>
    <col min="6661" max="6661" width="52.7109375" style="7" customWidth="1"/>
    <col min="6662" max="6662" width="9.28515625" style="7" customWidth="1"/>
    <col min="6663" max="6663" width="17.7109375" style="7" customWidth="1"/>
    <col min="6664" max="6664" width="65.140625" style="7" customWidth="1"/>
    <col min="6665" max="6666" width="10.140625" style="7" customWidth="1"/>
    <col min="6667" max="6667" width="11.7109375" style="7" customWidth="1"/>
    <col min="6668" max="6668" width="13.85546875" style="7" customWidth="1"/>
    <col min="6669" max="6669" width="16.7109375" style="7" customWidth="1"/>
    <col min="6670" max="6670" width="16.5703125" style="7" customWidth="1"/>
    <col min="6671" max="6671" width="15.140625" style="7" customWidth="1"/>
    <col min="6672" max="6672" width="19.7109375" style="7" customWidth="1"/>
    <col min="6673" max="6673" width="19.5703125" style="7" customWidth="1"/>
    <col min="6674" max="6674" width="13.7109375" style="7" customWidth="1"/>
    <col min="6675" max="6675" width="34.42578125" style="7" customWidth="1"/>
    <col min="6676" max="6676" width="26.7109375" style="7" customWidth="1"/>
    <col min="6677" max="6677" width="15.28515625" style="7" customWidth="1"/>
    <col min="6678" max="6678" width="9.140625" style="7"/>
    <col min="6679" max="6679" width="18.28515625" style="7" customWidth="1"/>
    <col min="6680" max="6915" width="9.140625" style="7"/>
    <col min="6916" max="6916" width="4.28515625" style="7" customWidth="1"/>
    <col min="6917" max="6917" width="52.7109375" style="7" customWidth="1"/>
    <col min="6918" max="6918" width="9.28515625" style="7" customWidth="1"/>
    <col min="6919" max="6919" width="17.7109375" style="7" customWidth="1"/>
    <col min="6920" max="6920" width="65.140625" style="7" customWidth="1"/>
    <col min="6921" max="6922" width="10.140625" style="7" customWidth="1"/>
    <col min="6923" max="6923" width="11.7109375" style="7" customWidth="1"/>
    <col min="6924" max="6924" width="13.85546875" style="7" customWidth="1"/>
    <col min="6925" max="6925" width="16.7109375" style="7" customWidth="1"/>
    <col min="6926" max="6926" width="16.5703125" style="7" customWidth="1"/>
    <col min="6927" max="6927" width="15.140625" style="7" customWidth="1"/>
    <col min="6928" max="6928" width="19.7109375" style="7" customWidth="1"/>
    <col min="6929" max="6929" width="19.5703125" style="7" customWidth="1"/>
    <col min="6930" max="6930" width="13.7109375" style="7" customWidth="1"/>
    <col min="6931" max="6931" width="34.42578125" style="7" customWidth="1"/>
    <col min="6932" max="6932" width="26.7109375" style="7" customWidth="1"/>
    <col min="6933" max="6933" width="15.28515625" style="7" customWidth="1"/>
    <col min="6934" max="6934" width="9.140625" style="7"/>
    <col min="6935" max="6935" width="18.28515625" style="7" customWidth="1"/>
    <col min="6936" max="7171" width="9.140625" style="7"/>
    <col min="7172" max="7172" width="4.28515625" style="7" customWidth="1"/>
    <col min="7173" max="7173" width="52.7109375" style="7" customWidth="1"/>
    <col min="7174" max="7174" width="9.28515625" style="7" customWidth="1"/>
    <col min="7175" max="7175" width="17.7109375" style="7" customWidth="1"/>
    <col min="7176" max="7176" width="65.140625" style="7" customWidth="1"/>
    <col min="7177" max="7178" width="10.140625" style="7" customWidth="1"/>
    <col min="7179" max="7179" width="11.7109375" style="7" customWidth="1"/>
    <col min="7180" max="7180" width="13.85546875" style="7" customWidth="1"/>
    <col min="7181" max="7181" width="16.7109375" style="7" customWidth="1"/>
    <col min="7182" max="7182" width="16.5703125" style="7" customWidth="1"/>
    <col min="7183" max="7183" width="15.140625" style="7" customWidth="1"/>
    <col min="7184" max="7184" width="19.7109375" style="7" customWidth="1"/>
    <col min="7185" max="7185" width="19.5703125" style="7" customWidth="1"/>
    <col min="7186" max="7186" width="13.7109375" style="7" customWidth="1"/>
    <col min="7187" max="7187" width="34.42578125" style="7" customWidth="1"/>
    <col min="7188" max="7188" width="26.7109375" style="7" customWidth="1"/>
    <col min="7189" max="7189" width="15.28515625" style="7" customWidth="1"/>
    <col min="7190" max="7190" width="9.140625" style="7"/>
    <col min="7191" max="7191" width="18.28515625" style="7" customWidth="1"/>
    <col min="7192" max="7427" width="9.140625" style="7"/>
    <col min="7428" max="7428" width="4.28515625" style="7" customWidth="1"/>
    <col min="7429" max="7429" width="52.7109375" style="7" customWidth="1"/>
    <col min="7430" max="7430" width="9.28515625" style="7" customWidth="1"/>
    <col min="7431" max="7431" width="17.7109375" style="7" customWidth="1"/>
    <col min="7432" max="7432" width="65.140625" style="7" customWidth="1"/>
    <col min="7433" max="7434" width="10.140625" style="7" customWidth="1"/>
    <col min="7435" max="7435" width="11.7109375" style="7" customWidth="1"/>
    <col min="7436" max="7436" width="13.85546875" style="7" customWidth="1"/>
    <col min="7437" max="7437" width="16.7109375" style="7" customWidth="1"/>
    <col min="7438" max="7438" width="16.5703125" style="7" customWidth="1"/>
    <col min="7439" max="7439" width="15.140625" style="7" customWidth="1"/>
    <col min="7440" max="7440" width="19.7109375" style="7" customWidth="1"/>
    <col min="7441" max="7441" width="19.5703125" style="7" customWidth="1"/>
    <col min="7442" max="7442" width="13.7109375" style="7" customWidth="1"/>
    <col min="7443" max="7443" width="34.42578125" style="7" customWidth="1"/>
    <col min="7444" max="7444" width="26.7109375" style="7" customWidth="1"/>
    <col min="7445" max="7445" width="15.28515625" style="7" customWidth="1"/>
    <col min="7446" max="7446" width="9.140625" style="7"/>
    <col min="7447" max="7447" width="18.28515625" style="7" customWidth="1"/>
    <col min="7448" max="7683" width="9.140625" style="7"/>
    <col min="7684" max="7684" width="4.28515625" style="7" customWidth="1"/>
    <col min="7685" max="7685" width="52.7109375" style="7" customWidth="1"/>
    <col min="7686" max="7686" width="9.28515625" style="7" customWidth="1"/>
    <col min="7687" max="7687" width="17.7109375" style="7" customWidth="1"/>
    <col min="7688" max="7688" width="65.140625" style="7" customWidth="1"/>
    <col min="7689" max="7690" width="10.140625" style="7" customWidth="1"/>
    <col min="7691" max="7691" width="11.7109375" style="7" customWidth="1"/>
    <col min="7692" max="7692" width="13.85546875" style="7" customWidth="1"/>
    <col min="7693" max="7693" width="16.7109375" style="7" customWidth="1"/>
    <col min="7694" max="7694" width="16.5703125" style="7" customWidth="1"/>
    <col min="7695" max="7695" width="15.140625" style="7" customWidth="1"/>
    <col min="7696" max="7696" width="19.7109375" style="7" customWidth="1"/>
    <col min="7697" max="7697" width="19.5703125" style="7" customWidth="1"/>
    <col min="7698" max="7698" width="13.7109375" style="7" customWidth="1"/>
    <col min="7699" max="7699" width="34.42578125" style="7" customWidth="1"/>
    <col min="7700" max="7700" width="26.7109375" style="7" customWidth="1"/>
    <col min="7701" max="7701" width="15.28515625" style="7" customWidth="1"/>
    <col min="7702" max="7702" width="9.140625" style="7"/>
    <col min="7703" max="7703" width="18.28515625" style="7" customWidth="1"/>
    <col min="7704" max="7939" width="9.140625" style="7"/>
    <col min="7940" max="7940" width="4.28515625" style="7" customWidth="1"/>
    <col min="7941" max="7941" width="52.7109375" style="7" customWidth="1"/>
    <col min="7942" max="7942" width="9.28515625" style="7" customWidth="1"/>
    <col min="7943" max="7943" width="17.7109375" style="7" customWidth="1"/>
    <col min="7944" max="7944" width="65.140625" style="7" customWidth="1"/>
    <col min="7945" max="7946" width="10.140625" style="7" customWidth="1"/>
    <col min="7947" max="7947" width="11.7109375" style="7" customWidth="1"/>
    <col min="7948" max="7948" width="13.85546875" style="7" customWidth="1"/>
    <col min="7949" max="7949" width="16.7109375" style="7" customWidth="1"/>
    <col min="7950" max="7950" width="16.5703125" style="7" customWidth="1"/>
    <col min="7951" max="7951" width="15.140625" style="7" customWidth="1"/>
    <col min="7952" max="7952" width="19.7109375" style="7" customWidth="1"/>
    <col min="7953" max="7953" width="19.5703125" style="7" customWidth="1"/>
    <col min="7954" max="7954" width="13.7109375" style="7" customWidth="1"/>
    <col min="7955" max="7955" width="34.42578125" style="7" customWidth="1"/>
    <col min="7956" max="7956" width="26.7109375" style="7" customWidth="1"/>
    <col min="7957" max="7957" width="15.28515625" style="7" customWidth="1"/>
    <col min="7958" max="7958" width="9.140625" style="7"/>
    <col min="7959" max="7959" width="18.28515625" style="7" customWidth="1"/>
    <col min="7960" max="8195" width="9.140625" style="7"/>
    <col min="8196" max="8196" width="4.28515625" style="7" customWidth="1"/>
    <col min="8197" max="8197" width="52.7109375" style="7" customWidth="1"/>
    <col min="8198" max="8198" width="9.28515625" style="7" customWidth="1"/>
    <col min="8199" max="8199" width="17.7109375" style="7" customWidth="1"/>
    <col min="8200" max="8200" width="65.140625" style="7" customWidth="1"/>
    <col min="8201" max="8202" width="10.140625" style="7" customWidth="1"/>
    <col min="8203" max="8203" width="11.7109375" style="7" customWidth="1"/>
    <col min="8204" max="8204" width="13.85546875" style="7" customWidth="1"/>
    <col min="8205" max="8205" width="16.7109375" style="7" customWidth="1"/>
    <col min="8206" max="8206" width="16.5703125" style="7" customWidth="1"/>
    <col min="8207" max="8207" width="15.140625" style="7" customWidth="1"/>
    <col min="8208" max="8208" width="19.7109375" style="7" customWidth="1"/>
    <col min="8209" max="8209" width="19.5703125" style="7" customWidth="1"/>
    <col min="8210" max="8210" width="13.7109375" style="7" customWidth="1"/>
    <col min="8211" max="8211" width="34.42578125" style="7" customWidth="1"/>
    <col min="8212" max="8212" width="26.7109375" style="7" customWidth="1"/>
    <col min="8213" max="8213" width="15.28515625" style="7" customWidth="1"/>
    <col min="8214" max="8214" width="9.140625" style="7"/>
    <col min="8215" max="8215" width="18.28515625" style="7" customWidth="1"/>
    <col min="8216" max="8451" width="9.140625" style="7"/>
    <col min="8452" max="8452" width="4.28515625" style="7" customWidth="1"/>
    <col min="8453" max="8453" width="52.7109375" style="7" customWidth="1"/>
    <col min="8454" max="8454" width="9.28515625" style="7" customWidth="1"/>
    <col min="8455" max="8455" width="17.7109375" style="7" customWidth="1"/>
    <col min="8456" max="8456" width="65.140625" style="7" customWidth="1"/>
    <col min="8457" max="8458" width="10.140625" style="7" customWidth="1"/>
    <col min="8459" max="8459" width="11.7109375" style="7" customWidth="1"/>
    <col min="8460" max="8460" width="13.85546875" style="7" customWidth="1"/>
    <col min="8461" max="8461" width="16.7109375" style="7" customWidth="1"/>
    <col min="8462" max="8462" width="16.5703125" style="7" customWidth="1"/>
    <col min="8463" max="8463" width="15.140625" style="7" customWidth="1"/>
    <col min="8464" max="8464" width="19.7109375" style="7" customWidth="1"/>
    <col min="8465" max="8465" width="19.5703125" style="7" customWidth="1"/>
    <col min="8466" max="8466" width="13.7109375" style="7" customWidth="1"/>
    <col min="8467" max="8467" width="34.42578125" style="7" customWidth="1"/>
    <col min="8468" max="8468" width="26.7109375" style="7" customWidth="1"/>
    <col min="8469" max="8469" width="15.28515625" style="7" customWidth="1"/>
    <col min="8470" max="8470" width="9.140625" style="7"/>
    <col min="8471" max="8471" width="18.28515625" style="7" customWidth="1"/>
    <col min="8472" max="8707" width="9.140625" style="7"/>
    <col min="8708" max="8708" width="4.28515625" style="7" customWidth="1"/>
    <col min="8709" max="8709" width="52.7109375" style="7" customWidth="1"/>
    <col min="8710" max="8710" width="9.28515625" style="7" customWidth="1"/>
    <col min="8711" max="8711" width="17.7109375" style="7" customWidth="1"/>
    <col min="8712" max="8712" width="65.140625" style="7" customWidth="1"/>
    <col min="8713" max="8714" width="10.140625" style="7" customWidth="1"/>
    <col min="8715" max="8715" width="11.7109375" style="7" customWidth="1"/>
    <col min="8716" max="8716" width="13.85546875" style="7" customWidth="1"/>
    <col min="8717" max="8717" width="16.7109375" style="7" customWidth="1"/>
    <col min="8718" max="8718" width="16.5703125" style="7" customWidth="1"/>
    <col min="8719" max="8719" width="15.140625" style="7" customWidth="1"/>
    <col min="8720" max="8720" width="19.7109375" style="7" customWidth="1"/>
    <col min="8721" max="8721" width="19.5703125" style="7" customWidth="1"/>
    <col min="8722" max="8722" width="13.7109375" style="7" customWidth="1"/>
    <col min="8723" max="8723" width="34.42578125" style="7" customWidth="1"/>
    <col min="8724" max="8724" width="26.7109375" style="7" customWidth="1"/>
    <col min="8725" max="8725" width="15.28515625" style="7" customWidth="1"/>
    <col min="8726" max="8726" width="9.140625" style="7"/>
    <col min="8727" max="8727" width="18.28515625" style="7" customWidth="1"/>
    <col min="8728" max="8963" width="9.140625" style="7"/>
    <col min="8964" max="8964" width="4.28515625" style="7" customWidth="1"/>
    <col min="8965" max="8965" width="52.7109375" style="7" customWidth="1"/>
    <col min="8966" max="8966" width="9.28515625" style="7" customWidth="1"/>
    <col min="8967" max="8967" width="17.7109375" style="7" customWidth="1"/>
    <col min="8968" max="8968" width="65.140625" style="7" customWidth="1"/>
    <col min="8969" max="8970" width="10.140625" style="7" customWidth="1"/>
    <col min="8971" max="8971" width="11.7109375" style="7" customWidth="1"/>
    <col min="8972" max="8972" width="13.85546875" style="7" customWidth="1"/>
    <col min="8973" max="8973" width="16.7109375" style="7" customWidth="1"/>
    <col min="8974" max="8974" width="16.5703125" style="7" customWidth="1"/>
    <col min="8975" max="8975" width="15.140625" style="7" customWidth="1"/>
    <col min="8976" max="8976" width="19.7109375" style="7" customWidth="1"/>
    <col min="8977" max="8977" width="19.5703125" style="7" customWidth="1"/>
    <col min="8978" max="8978" width="13.7109375" style="7" customWidth="1"/>
    <col min="8979" max="8979" width="34.42578125" style="7" customWidth="1"/>
    <col min="8980" max="8980" width="26.7109375" style="7" customWidth="1"/>
    <col min="8981" max="8981" width="15.28515625" style="7" customWidth="1"/>
    <col min="8982" max="8982" width="9.140625" style="7"/>
    <col min="8983" max="8983" width="18.28515625" style="7" customWidth="1"/>
    <col min="8984" max="9219" width="9.140625" style="7"/>
    <col min="9220" max="9220" width="4.28515625" style="7" customWidth="1"/>
    <col min="9221" max="9221" width="52.7109375" style="7" customWidth="1"/>
    <col min="9222" max="9222" width="9.28515625" style="7" customWidth="1"/>
    <col min="9223" max="9223" width="17.7109375" style="7" customWidth="1"/>
    <col min="9224" max="9224" width="65.140625" style="7" customWidth="1"/>
    <col min="9225" max="9226" width="10.140625" style="7" customWidth="1"/>
    <col min="9227" max="9227" width="11.7109375" style="7" customWidth="1"/>
    <col min="9228" max="9228" width="13.85546875" style="7" customWidth="1"/>
    <col min="9229" max="9229" width="16.7109375" style="7" customWidth="1"/>
    <col min="9230" max="9230" width="16.5703125" style="7" customWidth="1"/>
    <col min="9231" max="9231" width="15.140625" style="7" customWidth="1"/>
    <col min="9232" max="9232" width="19.7109375" style="7" customWidth="1"/>
    <col min="9233" max="9233" width="19.5703125" style="7" customWidth="1"/>
    <col min="9234" max="9234" width="13.7109375" style="7" customWidth="1"/>
    <col min="9235" max="9235" width="34.42578125" style="7" customWidth="1"/>
    <col min="9236" max="9236" width="26.7109375" style="7" customWidth="1"/>
    <col min="9237" max="9237" width="15.28515625" style="7" customWidth="1"/>
    <col min="9238" max="9238" width="9.140625" style="7"/>
    <col min="9239" max="9239" width="18.28515625" style="7" customWidth="1"/>
    <col min="9240" max="9475" width="9.140625" style="7"/>
    <col min="9476" max="9476" width="4.28515625" style="7" customWidth="1"/>
    <col min="9477" max="9477" width="52.7109375" style="7" customWidth="1"/>
    <col min="9478" max="9478" width="9.28515625" style="7" customWidth="1"/>
    <col min="9479" max="9479" width="17.7109375" style="7" customWidth="1"/>
    <col min="9480" max="9480" width="65.140625" style="7" customWidth="1"/>
    <col min="9481" max="9482" width="10.140625" style="7" customWidth="1"/>
    <col min="9483" max="9483" width="11.7109375" style="7" customWidth="1"/>
    <col min="9484" max="9484" width="13.85546875" style="7" customWidth="1"/>
    <col min="9485" max="9485" width="16.7109375" style="7" customWidth="1"/>
    <col min="9486" max="9486" width="16.5703125" style="7" customWidth="1"/>
    <col min="9487" max="9487" width="15.140625" style="7" customWidth="1"/>
    <col min="9488" max="9488" width="19.7109375" style="7" customWidth="1"/>
    <col min="9489" max="9489" width="19.5703125" style="7" customWidth="1"/>
    <col min="9490" max="9490" width="13.7109375" style="7" customWidth="1"/>
    <col min="9491" max="9491" width="34.42578125" style="7" customWidth="1"/>
    <col min="9492" max="9492" width="26.7109375" style="7" customWidth="1"/>
    <col min="9493" max="9493" width="15.28515625" style="7" customWidth="1"/>
    <col min="9494" max="9494" width="9.140625" style="7"/>
    <col min="9495" max="9495" width="18.28515625" style="7" customWidth="1"/>
    <col min="9496" max="9731" width="9.140625" style="7"/>
    <col min="9732" max="9732" width="4.28515625" style="7" customWidth="1"/>
    <col min="9733" max="9733" width="52.7109375" style="7" customWidth="1"/>
    <col min="9734" max="9734" width="9.28515625" style="7" customWidth="1"/>
    <col min="9735" max="9735" width="17.7109375" style="7" customWidth="1"/>
    <col min="9736" max="9736" width="65.140625" style="7" customWidth="1"/>
    <col min="9737" max="9738" width="10.140625" style="7" customWidth="1"/>
    <col min="9739" max="9739" width="11.7109375" style="7" customWidth="1"/>
    <col min="9740" max="9740" width="13.85546875" style="7" customWidth="1"/>
    <col min="9741" max="9741" width="16.7109375" style="7" customWidth="1"/>
    <col min="9742" max="9742" width="16.5703125" style="7" customWidth="1"/>
    <col min="9743" max="9743" width="15.140625" style="7" customWidth="1"/>
    <col min="9744" max="9744" width="19.7109375" style="7" customWidth="1"/>
    <col min="9745" max="9745" width="19.5703125" style="7" customWidth="1"/>
    <col min="9746" max="9746" width="13.7109375" style="7" customWidth="1"/>
    <col min="9747" max="9747" width="34.42578125" style="7" customWidth="1"/>
    <col min="9748" max="9748" width="26.7109375" style="7" customWidth="1"/>
    <col min="9749" max="9749" width="15.28515625" style="7" customWidth="1"/>
    <col min="9750" max="9750" width="9.140625" style="7"/>
    <col min="9751" max="9751" width="18.28515625" style="7" customWidth="1"/>
    <col min="9752" max="9987" width="9.140625" style="7"/>
    <col min="9988" max="9988" width="4.28515625" style="7" customWidth="1"/>
    <col min="9989" max="9989" width="52.7109375" style="7" customWidth="1"/>
    <col min="9990" max="9990" width="9.28515625" style="7" customWidth="1"/>
    <col min="9991" max="9991" width="17.7109375" style="7" customWidth="1"/>
    <col min="9992" max="9992" width="65.140625" style="7" customWidth="1"/>
    <col min="9993" max="9994" width="10.140625" style="7" customWidth="1"/>
    <col min="9995" max="9995" width="11.7109375" style="7" customWidth="1"/>
    <col min="9996" max="9996" width="13.85546875" style="7" customWidth="1"/>
    <col min="9997" max="9997" width="16.7109375" style="7" customWidth="1"/>
    <col min="9998" max="9998" width="16.5703125" style="7" customWidth="1"/>
    <col min="9999" max="9999" width="15.140625" style="7" customWidth="1"/>
    <col min="10000" max="10000" width="19.7109375" style="7" customWidth="1"/>
    <col min="10001" max="10001" width="19.5703125" style="7" customWidth="1"/>
    <col min="10002" max="10002" width="13.7109375" style="7" customWidth="1"/>
    <col min="10003" max="10003" width="34.42578125" style="7" customWidth="1"/>
    <col min="10004" max="10004" width="26.7109375" style="7" customWidth="1"/>
    <col min="10005" max="10005" width="15.28515625" style="7" customWidth="1"/>
    <col min="10006" max="10006" width="9.140625" style="7"/>
    <col min="10007" max="10007" width="18.28515625" style="7" customWidth="1"/>
    <col min="10008" max="10243" width="9.140625" style="7"/>
    <col min="10244" max="10244" width="4.28515625" style="7" customWidth="1"/>
    <col min="10245" max="10245" width="52.7109375" style="7" customWidth="1"/>
    <col min="10246" max="10246" width="9.28515625" style="7" customWidth="1"/>
    <col min="10247" max="10247" width="17.7109375" style="7" customWidth="1"/>
    <col min="10248" max="10248" width="65.140625" style="7" customWidth="1"/>
    <col min="10249" max="10250" width="10.140625" style="7" customWidth="1"/>
    <col min="10251" max="10251" width="11.7109375" style="7" customWidth="1"/>
    <col min="10252" max="10252" width="13.85546875" style="7" customWidth="1"/>
    <col min="10253" max="10253" width="16.7109375" style="7" customWidth="1"/>
    <col min="10254" max="10254" width="16.5703125" style="7" customWidth="1"/>
    <col min="10255" max="10255" width="15.140625" style="7" customWidth="1"/>
    <col min="10256" max="10256" width="19.7109375" style="7" customWidth="1"/>
    <col min="10257" max="10257" width="19.5703125" style="7" customWidth="1"/>
    <col min="10258" max="10258" width="13.7109375" style="7" customWidth="1"/>
    <col min="10259" max="10259" width="34.42578125" style="7" customWidth="1"/>
    <col min="10260" max="10260" width="26.7109375" style="7" customWidth="1"/>
    <col min="10261" max="10261" width="15.28515625" style="7" customWidth="1"/>
    <col min="10262" max="10262" width="9.140625" style="7"/>
    <col min="10263" max="10263" width="18.28515625" style="7" customWidth="1"/>
    <col min="10264" max="10499" width="9.140625" style="7"/>
    <col min="10500" max="10500" width="4.28515625" style="7" customWidth="1"/>
    <col min="10501" max="10501" width="52.7109375" style="7" customWidth="1"/>
    <col min="10502" max="10502" width="9.28515625" style="7" customWidth="1"/>
    <col min="10503" max="10503" width="17.7109375" style="7" customWidth="1"/>
    <col min="10504" max="10504" width="65.140625" style="7" customWidth="1"/>
    <col min="10505" max="10506" width="10.140625" style="7" customWidth="1"/>
    <col min="10507" max="10507" width="11.7109375" style="7" customWidth="1"/>
    <col min="10508" max="10508" width="13.85546875" style="7" customWidth="1"/>
    <col min="10509" max="10509" width="16.7109375" style="7" customWidth="1"/>
    <col min="10510" max="10510" width="16.5703125" style="7" customWidth="1"/>
    <col min="10511" max="10511" width="15.140625" style="7" customWidth="1"/>
    <col min="10512" max="10512" width="19.7109375" style="7" customWidth="1"/>
    <col min="10513" max="10513" width="19.5703125" style="7" customWidth="1"/>
    <col min="10514" max="10514" width="13.7109375" style="7" customWidth="1"/>
    <col min="10515" max="10515" width="34.42578125" style="7" customWidth="1"/>
    <col min="10516" max="10516" width="26.7109375" style="7" customWidth="1"/>
    <col min="10517" max="10517" width="15.28515625" style="7" customWidth="1"/>
    <col min="10518" max="10518" width="9.140625" style="7"/>
    <col min="10519" max="10519" width="18.28515625" style="7" customWidth="1"/>
    <col min="10520" max="10755" width="9.140625" style="7"/>
    <col min="10756" max="10756" width="4.28515625" style="7" customWidth="1"/>
    <col min="10757" max="10757" width="52.7109375" style="7" customWidth="1"/>
    <col min="10758" max="10758" width="9.28515625" style="7" customWidth="1"/>
    <col min="10759" max="10759" width="17.7109375" style="7" customWidth="1"/>
    <col min="10760" max="10760" width="65.140625" style="7" customWidth="1"/>
    <col min="10761" max="10762" width="10.140625" style="7" customWidth="1"/>
    <col min="10763" max="10763" width="11.7109375" style="7" customWidth="1"/>
    <col min="10764" max="10764" width="13.85546875" style="7" customWidth="1"/>
    <col min="10765" max="10765" width="16.7109375" style="7" customWidth="1"/>
    <col min="10766" max="10766" width="16.5703125" style="7" customWidth="1"/>
    <col min="10767" max="10767" width="15.140625" style="7" customWidth="1"/>
    <col min="10768" max="10768" width="19.7109375" style="7" customWidth="1"/>
    <col min="10769" max="10769" width="19.5703125" style="7" customWidth="1"/>
    <col min="10770" max="10770" width="13.7109375" style="7" customWidth="1"/>
    <col min="10771" max="10771" width="34.42578125" style="7" customWidth="1"/>
    <col min="10772" max="10772" width="26.7109375" style="7" customWidth="1"/>
    <col min="10773" max="10773" width="15.28515625" style="7" customWidth="1"/>
    <col min="10774" max="10774" width="9.140625" style="7"/>
    <col min="10775" max="10775" width="18.28515625" style="7" customWidth="1"/>
    <col min="10776" max="11011" width="9.140625" style="7"/>
    <col min="11012" max="11012" width="4.28515625" style="7" customWidth="1"/>
    <col min="11013" max="11013" width="52.7109375" style="7" customWidth="1"/>
    <col min="11014" max="11014" width="9.28515625" style="7" customWidth="1"/>
    <col min="11015" max="11015" width="17.7109375" style="7" customWidth="1"/>
    <col min="11016" max="11016" width="65.140625" style="7" customWidth="1"/>
    <col min="11017" max="11018" width="10.140625" style="7" customWidth="1"/>
    <col min="11019" max="11019" width="11.7109375" style="7" customWidth="1"/>
    <col min="11020" max="11020" width="13.85546875" style="7" customWidth="1"/>
    <col min="11021" max="11021" width="16.7109375" style="7" customWidth="1"/>
    <col min="11022" max="11022" width="16.5703125" style="7" customWidth="1"/>
    <col min="11023" max="11023" width="15.140625" style="7" customWidth="1"/>
    <col min="11024" max="11024" width="19.7109375" style="7" customWidth="1"/>
    <col min="11025" max="11025" width="19.5703125" style="7" customWidth="1"/>
    <col min="11026" max="11026" width="13.7109375" style="7" customWidth="1"/>
    <col min="11027" max="11027" width="34.42578125" style="7" customWidth="1"/>
    <col min="11028" max="11028" width="26.7109375" style="7" customWidth="1"/>
    <col min="11029" max="11029" width="15.28515625" style="7" customWidth="1"/>
    <col min="11030" max="11030" width="9.140625" style="7"/>
    <col min="11031" max="11031" width="18.28515625" style="7" customWidth="1"/>
    <col min="11032" max="11267" width="9.140625" style="7"/>
    <col min="11268" max="11268" width="4.28515625" style="7" customWidth="1"/>
    <col min="11269" max="11269" width="52.7109375" style="7" customWidth="1"/>
    <col min="11270" max="11270" width="9.28515625" style="7" customWidth="1"/>
    <col min="11271" max="11271" width="17.7109375" style="7" customWidth="1"/>
    <col min="11272" max="11272" width="65.140625" style="7" customWidth="1"/>
    <col min="11273" max="11274" width="10.140625" style="7" customWidth="1"/>
    <col min="11275" max="11275" width="11.7109375" style="7" customWidth="1"/>
    <col min="11276" max="11276" width="13.85546875" style="7" customWidth="1"/>
    <col min="11277" max="11277" width="16.7109375" style="7" customWidth="1"/>
    <col min="11278" max="11278" width="16.5703125" style="7" customWidth="1"/>
    <col min="11279" max="11279" width="15.140625" style="7" customWidth="1"/>
    <col min="11280" max="11280" width="19.7109375" style="7" customWidth="1"/>
    <col min="11281" max="11281" width="19.5703125" style="7" customWidth="1"/>
    <col min="11282" max="11282" width="13.7109375" style="7" customWidth="1"/>
    <col min="11283" max="11283" width="34.42578125" style="7" customWidth="1"/>
    <col min="11284" max="11284" width="26.7109375" style="7" customWidth="1"/>
    <col min="11285" max="11285" width="15.28515625" style="7" customWidth="1"/>
    <col min="11286" max="11286" width="9.140625" style="7"/>
    <col min="11287" max="11287" width="18.28515625" style="7" customWidth="1"/>
    <col min="11288" max="11523" width="9.140625" style="7"/>
    <col min="11524" max="11524" width="4.28515625" style="7" customWidth="1"/>
    <col min="11525" max="11525" width="52.7109375" style="7" customWidth="1"/>
    <col min="11526" max="11526" width="9.28515625" style="7" customWidth="1"/>
    <col min="11527" max="11527" width="17.7109375" style="7" customWidth="1"/>
    <col min="11528" max="11528" width="65.140625" style="7" customWidth="1"/>
    <col min="11529" max="11530" width="10.140625" style="7" customWidth="1"/>
    <col min="11531" max="11531" width="11.7109375" style="7" customWidth="1"/>
    <col min="11532" max="11532" width="13.85546875" style="7" customWidth="1"/>
    <col min="11533" max="11533" width="16.7109375" style="7" customWidth="1"/>
    <col min="11534" max="11534" width="16.5703125" style="7" customWidth="1"/>
    <col min="11535" max="11535" width="15.140625" style="7" customWidth="1"/>
    <col min="11536" max="11536" width="19.7109375" style="7" customWidth="1"/>
    <col min="11537" max="11537" width="19.5703125" style="7" customWidth="1"/>
    <col min="11538" max="11538" width="13.7109375" style="7" customWidth="1"/>
    <col min="11539" max="11539" width="34.42578125" style="7" customWidth="1"/>
    <col min="11540" max="11540" width="26.7109375" style="7" customWidth="1"/>
    <col min="11541" max="11541" width="15.28515625" style="7" customWidth="1"/>
    <col min="11542" max="11542" width="9.140625" style="7"/>
    <col min="11543" max="11543" width="18.28515625" style="7" customWidth="1"/>
    <col min="11544" max="11779" width="9.140625" style="7"/>
    <col min="11780" max="11780" width="4.28515625" style="7" customWidth="1"/>
    <col min="11781" max="11781" width="52.7109375" style="7" customWidth="1"/>
    <col min="11782" max="11782" width="9.28515625" style="7" customWidth="1"/>
    <col min="11783" max="11783" width="17.7109375" style="7" customWidth="1"/>
    <col min="11784" max="11784" width="65.140625" style="7" customWidth="1"/>
    <col min="11785" max="11786" width="10.140625" style="7" customWidth="1"/>
    <col min="11787" max="11787" width="11.7109375" style="7" customWidth="1"/>
    <col min="11788" max="11788" width="13.85546875" style="7" customWidth="1"/>
    <col min="11789" max="11789" width="16.7109375" style="7" customWidth="1"/>
    <col min="11790" max="11790" width="16.5703125" style="7" customWidth="1"/>
    <col min="11791" max="11791" width="15.140625" style="7" customWidth="1"/>
    <col min="11792" max="11792" width="19.7109375" style="7" customWidth="1"/>
    <col min="11793" max="11793" width="19.5703125" style="7" customWidth="1"/>
    <col min="11794" max="11794" width="13.7109375" style="7" customWidth="1"/>
    <col min="11795" max="11795" width="34.42578125" style="7" customWidth="1"/>
    <col min="11796" max="11796" width="26.7109375" style="7" customWidth="1"/>
    <col min="11797" max="11797" width="15.28515625" style="7" customWidth="1"/>
    <col min="11798" max="11798" width="9.140625" style="7"/>
    <col min="11799" max="11799" width="18.28515625" style="7" customWidth="1"/>
    <col min="11800" max="12035" width="9.140625" style="7"/>
    <col min="12036" max="12036" width="4.28515625" style="7" customWidth="1"/>
    <col min="12037" max="12037" width="52.7109375" style="7" customWidth="1"/>
    <col min="12038" max="12038" width="9.28515625" style="7" customWidth="1"/>
    <col min="12039" max="12039" width="17.7109375" style="7" customWidth="1"/>
    <col min="12040" max="12040" width="65.140625" style="7" customWidth="1"/>
    <col min="12041" max="12042" width="10.140625" style="7" customWidth="1"/>
    <col min="12043" max="12043" width="11.7109375" style="7" customWidth="1"/>
    <col min="12044" max="12044" width="13.85546875" style="7" customWidth="1"/>
    <col min="12045" max="12045" width="16.7109375" style="7" customWidth="1"/>
    <col min="12046" max="12046" width="16.5703125" style="7" customWidth="1"/>
    <col min="12047" max="12047" width="15.140625" style="7" customWidth="1"/>
    <col min="12048" max="12048" width="19.7109375" style="7" customWidth="1"/>
    <col min="12049" max="12049" width="19.5703125" style="7" customWidth="1"/>
    <col min="12050" max="12050" width="13.7109375" style="7" customWidth="1"/>
    <col min="12051" max="12051" width="34.42578125" style="7" customWidth="1"/>
    <col min="12052" max="12052" width="26.7109375" style="7" customWidth="1"/>
    <col min="12053" max="12053" width="15.28515625" style="7" customWidth="1"/>
    <col min="12054" max="12054" width="9.140625" style="7"/>
    <col min="12055" max="12055" width="18.28515625" style="7" customWidth="1"/>
    <col min="12056" max="12291" width="9.140625" style="7"/>
    <col min="12292" max="12292" width="4.28515625" style="7" customWidth="1"/>
    <col min="12293" max="12293" width="52.7109375" style="7" customWidth="1"/>
    <col min="12294" max="12294" width="9.28515625" style="7" customWidth="1"/>
    <col min="12295" max="12295" width="17.7109375" style="7" customWidth="1"/>
    <col min="12296" max="12296" width="65.140625" style="7" customWidth="1"/>
    <col min="12297" max="12298" width="10.140625" style="7" customWidth="1"/>
    <col min="12299" max="12299" width="11.7109375" style="7" customWidth="1"/>
    <col min="12300" max="12300" width="13.85546875" style="7" customWidth="1"/>
    <col min="12301" max="12301" width="16.7109375" style="7" customWidth="1"/>
    <col min="12302" max="12302" width="16.5703125" style="7" customWidth="1"/>
    <col min="12303" max="12303" width="15.140625" style="7" customWidth="1"/>
    <col min="12304" max="12304" width="19.7109375" style="7" customWidth="1"/>
    <col min="12305" max="12305" width="19.5703125" style="7" customWidth="1"/>
    <col min="12306" max="12306" width="13.7109375" style="7" customWidth="1"/>
    <col min="12307" max="12307" width="34.42578125" style="7" customWidth="1"/>
    <col min="12308" max="12308" width="26.7109375" style="7" customWidth="1"/>
    <col min="12309" max="12309" width="15.28515625" style="7" customWidth="1"/>
    <col min="12310" max="12310" width="9.140625" style="7"/>
    <col min="12311" max="12311" width="18.28515625" style="7" customWidth="1"/>
    <col min="12312" max="12547" width="9.140625" style="7"/>
    <col min="12548" max="12548" width="4.28515625" style="7" customWidth="1"/>
    <col min="12549" max="12549" width="52.7109375" style="7" customWidth="1"/>
    <col min="12550" max="12550" width="9.28515625" style="7" customWidth="1"/>
    <col min="12551" max="12551" width="17.7109375" style="7" customWidth="1"/>
    <col min="12552" max="12552" width="65.140625" style="7" customWidth="1"/>
    <col min="12553" max="12554" width="10.140625" style="7" customWidth="1"/>
    <col min="12555" max="12555" width="11.7109375" style="7" customWidth="1"/>
    <col min="12556" max="12556" width="13.85546875" style="7" customWidth="1"/>
    <col min="12557" max="12557" width="16.7109375" style="7" customWidth="1"/>
    <col min="12558" max="12558" width="16.5703125" style="7" customWidth="1"/>
    <col min="12559" max="12559" width="15.140625" style="7" customWidth="1"/>
    <col min="12560" max="12560" width="19.7109375" style="7" customWidth="1"/>
    <col min="12561" max="12561" width="19.5703125" style="7" customWidth="1"/>
    <col min="12562" max="12562" width="13.7109375" style="7" customWidth="1"/>
    <col min="12563" max="12563" width="34.42578125" style="7" customWidth="1"/>
    <col min="12564" max="12564" width="26.7109375" style="7" customWidth="1"/>
    <col min="12565" max="12565" width="15.28515625" style="7" customWidth="1"/>
    <col min="12566" max="12566" width="9.140625" style="7"/>
    <col min="12567" max="12567" width="18.28515625" style="7" customWidth="1"/>
    <col min="12568" max="12803" width="9.140625" style="7"/>
    <col min="12804" max="12804" width="4.28515625" style="7" customWidth="1"/>
    <col min="12805" max="12805" width="52.7109375" style="7" customWidth="1"/>
    <col min="12806" max="12806" width="9.28515625" style="7" customWidth="1"/>
    <col min="12807" max="12807" width="17.7109375" style="7" customWidth="1"/>
    <col min="12808" max="12808" width="65.140625" style="7" customWidth="1"/>
    <col min="12809" max="12810" width="10.140625" style="7" customWidth="1"/>
    <col min="12811" max="12811" width="11.7109375" style="7" customWidth="1"/>
    <col min="12812" max="12812" width="13.85546875" style="7" customWidth="1"/>
    <col min="12813" max="12813" width="16.7109375" style="7" customWidth="1"/>
    <col min="12814" max="12814" width="16.5703125" style="7" customWidth="1"/>
    <col min="12815" max="12815" width="15.140625" style="7" customWidth="1"/>
    <col min="12816" max="12816" width="19.7109375" style="7" customWidth="1"/>
    <col min="12817" max="12817" width="19.5703125" style="7" customWidth="1"/>
    <col min="12818" max="12818" width="13.7109375" style="7" customWidth="1"/>
    <col min="12819" max="12819" width="34.42578125" style="7" customWidth="1"/>
    <col min="12820" max="12820" width="26.7109375" style="7" customWidth="1"/>
    <col min="12821" max="12821" width="15.28515625" style="7" customWidth="1"/>
    <col min="12822" max="12822" width="9.140625" style="7"/>
    <col min="12823" max="12823" width="18.28515625" style="7" customWidth="1"/>
    <col min="12824" max="13059" width="9.140625" style="7"/>
    <col min="13060" max="13060" width="4.28515625" style="7" customWidth="1"/>
    <col min="13061" max="13061" width="52.7109375" style="7" customWidth="1"/>
    <col min="13062" max="13062" width="9.28515625" style="7" customWidth="1"/>
    <col min="13063" max="13063" width="17.7109375" style="7" customWidth="1"/>
    <col min="13064" max="13064" width="65.140625" style="7" customWidth="1"/>
    <col min="13065" max="13066" width="10.140625" style="7" customWidth="1"/>
    <col min="13067" max="13067" width="11.7109375" style="7" customWidth="1"/>
    <col min="13068" max="13068" width="13.85546875" style="7" customWidth="1"/>
    <col min="13069" max="13069" width="16.7109375" style="7" customWidth="1"/>
    <col min="13070" max="13070" width="16.5703125" style="7" customWidth="1"/>
    <col min="13071" max="13071" width="15.140625" style="7" customWidth="1"/>
    <col min="13072" max="13072" width="19.7109375" style="7" customWidth="1"/>
    <col min="13073" max="13073" width="19.5703125" style="7" customWidth="1"/>
    <col min="13074" max="13074" width="13.7109375" style="7" customWidth="1"/>
    <col min="13075" max="13075" width="34.42578125" style="7" customWidth="1"/>
    <col min="13076" max="13076" width="26.7109375" style="7" customWidth="1"/>
    <col min="13077" max="13077" width="15.28515625" style="7" customWidth="1"/>
    <col min="13078" max="13078" width="9.140625" style="7"/>
    <col min="13079" max="13079" width="18.28515625" style="7" customWidth="1"/>
    <col min="13080" max="13315" width="9.140625" style="7"/>
    <col min="13316" max="13316" width="4.28515625" style="7" customWidth="1"/>
    <col min="13317" max="13317" width="52.7109375" style="7" customWidth="1"/>
    <col min="13318" max="13318" width="9.28515625" style="7" customWidth="1"/>
    <col min="13319" max="13319" width="17.7109375" style="7" customWidth="1"/>
    <col min="13320" max="13320" width="65.140625" style="7" customWidth="1"/>
    <col min="13321" max="13322" width="10.140625" style="7" customWidth="1"/>
    <col min="13323" max="13323" width="11.7109375" style="7" customWidth="1"/>
    <col min="13324" max="13324" width="13.85546875" style="7" customWidth="1"/>
    <col min="13325" max="13325" width="16.7109375" style="7" customWidth="1"/>
    <col min="13326" max="13326" width="16.5703125" style="7" customWidth="1"/>
    <col min="13327" max="13327" width="15.140625" style="7" customWidth="1"/>
    <col min="13328" max="13328" width="19.7109375" style="7" customWidth="1"/>
    <col min="13329" max="13329" width="19.5703125" style="7" customWidth="1"/>
    <col min="13330" max="13330" width="13.7109375" style="7" customWidth="1"/>
    <col min="13331" max="13331" width="34.42578125" style="7" customWidth="1"/>
    <col min="13332" max="13332" width="26.7109375" style="7" customWidth="1"/>
    <col min="13333" max="13333" width="15.28515625" style="7" customWidth="1"/>
    <col min="13334" max="13334" width="9.140625" style="7"/>
    <col min="13335" max="13335" width="18.28515625" style="7" customWidth="1"/>
    <col min="13336" max="13571" width="9.140625" style="7"/>
    <col min="13572" max="13572" width="4.28515625" style="7" customWidth="1"/>
    <col min="13573" max="13573" width="52.7109375" style="7" customWidth="1"/>
    <col min="13574" max="13574" width="9.28515625" style="7" customWidth="1"/>
    <col min="13575" max="13575" width="17.7109375" style="7" customWidth="1"/>
    <col min="13576" max="13576" width="65.140625" style="7" customWidth="1"/>
    <col min="13577" max="13578" width="10.140625" style="7" customWidth="1"/>
    <col min="13579" max="13579" width="11.7109375" style="7" customWidth="1"/>
    <col min="13580" max="13580" width="13.85546875" style="7" customWidth="1"/>
    <col min="13581" max="13581" width="16.7109375" style="7" customWidth="1"/>
    <col min="13582" max="13582" width="16.5703125" style="7" customWidth="1"/>
    <col min="13583" max="13583" width="15.140625" style="7" customWidth="1"/>
    <col min="13584" max="13584" width="19.7109375" style="7" customWidth="1"/>
    <col min="13585" max="13585" width="19.5703125" style="7" customWidth="1"/>
    <col min="13586" max="13586" width="13.7109375" style="7" customWidth="1"/>
    <col min="13587" max="13587" width="34.42578125" style="7" customWidth="1"/>
    <col min="13588" max="13588" width="26.7109375" style="7" customWidth="1"/>
    <col min="13589" max="13589" width="15.28515625" style="7" customWidth="1"/>
    <col min="13590" max="13590" width="9.140625" style="7"/>
    <col min="13591" max="13591" width="18.28515625" style="7" customWidth="1"/>
    <col min="13592" max="13827" width="9.140625" style="7"/>
    <col min="13828" max="13828" width="4.28515625" style="7" customWidth="1"/>
    <col min="13829" max="13829" width="52.7109375" style="7" customWidth="1"/>
    <col min="13830" max="13830" width="9.28515625" style="7" customWidth="1"/>
    <col min="13831" max="13831" width="17.7109375" style="7" customWidth="1"/>
    <col min="13832" max="13832" width="65.140625" style="7" customWidth="1"/>
    <col min="13833" max="13834" width="10.140625" style="7" customWidth="1"/>
    <col min="13835" max="13835" width="11.7109375" style="7" customWidth="1"/>
    <col min="13836" max="13836" width="13.85546875" style="7" customWidth="1"/>
    <col min="13837" max="13837" width="16.7109375" style="7" customWidth="1"/>
    <col min="13838" max="13838" width="16.5703125" style="7" customWidth="1"/>
    <col min="13839" max="13839" width="15.140625" style="7" customWidth="1"/>
    <col min="13840" max="13840" width="19.7109375" style="7" customWidth="1"/>
    <col min="13841" max="13841" width="19.5703125" style="7" customWidth="1"/>
    <col min="13842" max="13842" width="13.7109375" style="7" customWidth="1"/>
    <col min="13843" max="13843" width="34.42578125" style="7" customWidth="1"/>
    <col min="13844" max="13844" width="26.7109375" style="7" customWidth="1"/>
    <col min="13845" max="13845" width="15.28515625" style="7" customWidth="1"/>
    <col min="13846" max="13846" width="9.140625" style="7"/>
    <col min="13847" max="13847" width="18.28515625" style="7" customWidth="1"/>
    <col min="13848" max="14083" width="9.140625" style="7"/>
    <col min="14084" max="14084" width="4.28515625" style="7" customWidth="1"/>
    <col min="14085" max="14085" width="52.7109375" style="7" customWidth="1"/>
    <col min="14086" max="14086" width="9.28515625" style="7" customWidth="1"/>
    <col min="14087" max="14087" width="17.7109375" style="7" customWidth="1"/>
    <col min="14088" max="14088" width="65.140625" style="7" customWidth="1"/>
    <col min="14089" max="14090" width="10.140625" style="7" customWidth="1"/>
    <col min="14091" max="14091" width="11.7109375" style="7" customWidth="1"/>
    <col min="14092" max="14092" width="13.85546875" style="7" customWidth="1"/>
    <col min="14093" max="14093" width="16.7109375" style="7" customWidth="1"/>
    <col min="14094" max="14094" width="16.5703125" style="7" customWidth="1"/>
    <col min="14095" max="14095" width="15.140625" style="7" customWidth="1"/>
    <col min="14096" max="14096" width="19.7109375" style="7" customWidth="1"/>
    <col min="14097" max="14097" width="19.5703125" style="7" customWidth="1"/>
    <col min="14098" max="14098" width="13.7109375" style="7" customWidth="1"/>
    <col min="14099" max="14099" width="34.42578125" style="7" customWidth="1"/>
    <col min="14100" max="14100" width="26.7109375" style="7" customWidth="1"/>
    <col min="14101" max="14101" width="15.28515625" style="7" customWidth="1"/>
    <col min="14102" max="14102" width="9.140625" style="7"/>
    <col min="14103" max="14103" width="18.28515625" style="7" customWidth="1"/>
    <col min="14104" max="14339" width="9.140625" style="7"/>
    <col min="14340" max="14340" width="4.28515625" style="7" customWidth="1"/>
    <col min="14341" max="14341" width="52.7109375" style="7" customWidth="1"/>
    <col min="14342" max="14342" width="9.28515625" style="7" customWidth="1"/>
    <col min="14343" max="14343" width="17.7109375" style="7" customWidth="1"/>
    <col min="14344" max="14344" width="65.140625" style="7" customWidth="1"/>
    <col min="14345" max="14346" width="10.140625" style="7" customWidth="1"/>
    <col min="14347" max="14347" width="11.7109375" style="7" customWidth="1"/>
    <col min="14348" max="14348" width="13.85546875" style="7" customWidth="1"/>
    <col min="14349" max="14349" width="16.7109375" style="7" customWidth="1"/>
    <col min="14350" max="14350" width="16.5703125" style="7" customWidth="1"/>
    <col min="14351" max="14351" width="15.140625" style="7" customWidth="1"/>
    <col min="14352" max="14352" width="19.7109375" style="7" customWidth="1"/>
    <col min="14353" max="14353" width="19.5703125" style="7" customWidth="1"/>
    <col min="14354" max="14354" width="13.7109375" style="7" customWidth="1"/>
    <col min="14355" max="14355" width="34.42578125" style="7" customWidth="1"/>
    <col min="14356" max="14356" width="26.7109375" style="7" customWidth="1"/>
    <col min="14357" max="14357" width="15.28515625" style="7" customWidth="1"/>
    <col min="14358" max="14358" width="9.140625" style="7"/>
    <col min="14359" max="14359" width="18.28515625" style="7" customWidth="1"/>
    <col min="14360" max="14595" width="9.140625" style="7"/>
    <col min="14596" max="14596" width="4.28515625" style="7" customWidth="1"/>
    <col min="14597" max="14597" width="52.7109375" style="7" customWidth="1"/>
    <col min="14598" max="14598" width="9.28515625" style="7" customWidth="1"/>
    <col min="14599" max="14599" width="17.7109375" style="7" customWidth="1"/>
    <col min="14600" max="14600" width="65.140625" style="7" customWidth="1"/>
    <col min="14601" max="14602" width="10.140625" style="7" customWidth="1"/>
    <col min="14603" max="14603" width="11.7109375" style="7" customWidth="1"/>
    <col min="14604" max="14604" width="13.85546875" style="7" customWidth="1"/>
    <col min="14605" max="14605" width="16.7109375" style="7" customWidth="1"/>
    <col min="14606" max="14606" width="16.5703125" style="7" customWidth="1"/>
    <col min="14607" max="14607" width="15.140625" style="7" customWidth="1"/>
    <col min="14608" max="14608" width="19.7109375" style="7" customWidth="1"/>
    <col min="14609" max="14609" width="19.5703125" style="7" customWidth="1"/>
    <col min="14610" max="14610" width="13.7109375" style="7" customWidth="1"/>
    <col min="14611" max="14611" width="34.42578125" style="7" customWidth="1"/>
    <col min="14612" max="14612" width="26.7109375" style="7" customWidth="1"/>
    <col min="14613" max="14613" width="15.28515625" style="7" customWidth="1"/>
    <col min="14614" max="14614" width="9.140625" style="7"/>
    <col min="14615" max="14615" width="18.28515625" style="7" customWidth="1"/>
    <col min="14616" max="14851" width="9.140625" style="7"/>
    <col min="14852" max="14852" width="4.28515625" style="7" customWidth="1"/>
    <col min="14853" max="14853" width="52.7109375" style="7" customWidth="1"/>
    <col min="14854" max="14854" width="9.28515625" style="7" customWidth="1"/>
    <col min="14855" max="14855" width="17.7109375" style="7" customWidth="1"/>
    <col min="14856" max="14856" width="65.140625" style="7" customWidth="1"/>
    <col min="14857" max="14858" width="10.140625" style="7" customWidth="1"/>
    <col min="14859" max="14859" width="11.7109375" style="7" customWidth="1"/>
    <col min="14860" max="14860" width="13.85546875" style="7" customWidth="1"/>
    <col min="14861" max="14861" width="16.7109375" style="7" customWidth="1"/>
    <col min="14862" max="14862" width="16.5703125" style="7" customWidth="1"/>
    <col min="14863" max="14863" width="15.140625" style="7" customWidth="1"/>
    <col min="14864" max="14864" width="19.7109375" style="7" customWidth="1"/>
    <col min="14865" max="14865" width="19.5703125" style="7" customWidth="1"/>
    <col min="14866" max="14866" width="13.7109375" style="7" customWidth="1"/>
    <col min="14867" max="14867" width="34.42578125" style="7" customWidth="1"/>
    <col min="14868" max="14868" width="26.7109375" style="7" customWidth="1"/>
    <col min="14869" max="14869" width="15.28515625" style="7" customWidth="1"/>
    <col min="14870" max="14870" width="9.140625" style="7"/>
    <col min="14871" max="14871" width="18.28515625" style="7" customWidth="1"/>
    <col min="14872" max="15107" width="9.140625" style="7"/>
    <col min="15108" max="15108" width="4.28515625" style="7" customWidth="1"/>
    <col min="15109" max="15109" width="52.7109375" style="7" customWidth="1"/>
    <col min="15110" max="15110" width="9.28515625" style="7" customWidth="1"/>
    <col min="15111" max="15111" width="17.7109375" style="7" customWidth="1"/>
    <col min="15112" max="15112" width="65.140625" style="7" customWidth="1"/>
    <col min="15113" max="15114" width="10.140625" style="7" customWidth="1"/>
    <col min="15115" max="15115" width="11.7109375" style="7" customWidth="1"/>
    <col min="15116" max="15116" width="13.85546875" style="7" customWidth="1"/>
    <col min="15117" max="15117" width="16.7109375" style="7" customWidth="1"/>
    <col min="15118" max="15118" width="16.5703125" style="7" customWidth="1"/>
    <col min="15119" max="15119" width="15.140625" style="7" customWidth="1"/>
    <col min="15120" max="15120" width="19.7109375" style="7" customWidth="1"/>
    <col min="15121" max="15121" width="19.5703125" style="7" customWidth="1"/>
    <col min="15122" max="15122" width="13.7109375" style="7" customWidth="1"/>
    <col min="15123" max="15123" width="34.42578125" style="7" customWidth="1"/>
    <col min="15124" max="15124" width="26.7109375" style="7" customWidth="1"/>
    <col min="15125" max="15125" width="15.28515625" style="7" customWidth="1"/>
    <col min="15126" max="15126" width="9.140625" style="7"/>
    <col min="15127" max="15127" width="18.28515625" style="7" customWidth="1"/>
    <col min="15128" max="15363" width="9.140625" style="7"/>
    <col min="15364" max="15364" width="4.28515625" style="7" customWidth="1"/>
    <col min="15365" max="15365" width="52.7109375" style="7" customWidth="1"/>
    <col min="15366" max="15366" width="9.28515625" style="7" customWidth="1"/>
    <col min="15367" max="15367" width="17.7109375" style="7" customWidth="1"/>
    <col min="15368" max="15368" width="65.140625" style="7" customWidth="1"/>
    <col min="15369" max="15370" width="10.140625" style="7" customWidth="1"/>
    <col min="15371" max="15371" width="11.7109375" style="7" customWidth="1"/>
    <col min="15372" max="15372" width="13.85546875" style="7" customWidth="1"/>
    <col min="15373" max="15373" width="16.7109375" style="7" customWidth="1"/>
    <col min="15374" max="15374" width="16.5703125" style="7" customWidth="1"/>
    <col min="15375" max="15375" width="15.140625" style="7" customWidth="1"/>
    <col min="15376" max="15376" width="19.7109375" style="7" customWidth="1"/>
    <col min="15377" max="15377" width="19.5703125" style="7" customWidth="1"/>
    <col min="15378" max="15378" width="13.7109375" style="7" customWidth="1"/>
    <col min="15379" max="15379" width="34.42578125" style="7" customWidth="1"/>
    <col min="15380" max="15380" width="26.7109375" style="7" customWidth="1"/>
    <col min="15381" max="15381" width="15.28515625" style="7" customWidth="1"/>
    <col min="15382" max="15382" width="9.140625" style="7"/>
    <col min="15383" max="15383" width="18.28515625" style="7" customWidth="1"/>
    <col min="15384" max="15619" width="9.140625" style="7"/>
    <col min="15620" max="15620" width="4.28515625" style="7" customWidth="1"/>
    <col min="15621" max="15621" width="52.7109375" style="7" customWidth="1"/>
    <col min="15622" max="15622" width="9.28515625" style="7" customWidth="1"/>
    <col min="15623" max="15623" width="17.7109375" style="7" customWidth="1"/>
    <col min="15624" max="15624" width="65.140625" style="7" customWidth="1"/>
    <col min="15625" max="15626" width="10.140625" style="7" customWidth="1"/>
    <col min="15627" max="15627" width="11.7109375" style="7" customWidth="1"/>
    <col min="15628" max="15628" width="13.85546875" style="7" customWidth="1"/>
    <col min="15629" max="15629" width="16.7109375" style="7" customWidth="1"/>
    <col min="15630" max="15630" width="16.5703125" style="7" customWidth="1"/>
    <col min="15631" max="15631" width="15.140625" style="7" customWidth="1"/>
    <col min="15632" max="15632" width="19.7109375" style="7" customWidth="1"/>
    <col min="15633" max="15633" width="19.5703125" style="7" customWidth="1"/>
    <col min="15634" max="15634" width="13.7109375" style="7" customWidth="1"/>
    <col min="15635" max="15635" width="34.42578125" style="7" customWidth="1"/>
    <col min="15636" max="15636" width="26.7109375" style="7" customWidth="1"/>
    <col min="15637" max="15637" width="15.28515625" style="7" customWidth="1"/>
    <col min="15638" max="15638" width="9.140625" style="7"/>
    <col min="15639" max="15639" width="18.28515625" style="7" customWidth="1"/>
    <col min="15640" max="15875" width="9.140625" style="7"/>
    <col min="15876" max="15876" width="4.28515625" style="7" customWidth="1"/>
    <col min="15877" max="15877" width="52.7109375" style="7" customWidth="1"/>
    <col min="15878" max="15878" width="9.28515625" style="7" customWidth="1"/>
    <col min="15879" max="15879" width="17.7109375" style="7" customWidth="1"/>
    <col min="15880" max="15880" width="65.140625" style="7" customWidth="1"/>
    <col min="15881" max="15882" width="10.140625" style="7" customWidth="1"/>
    <col min="15883" max="15883" width="11.7109375" style="7" customWidth="1"/>
    <col min="15884" max="15884" width="13.85546875" style="7" customWidth="1"/>
    <col min="15885" max="15885" width="16.7109375" style="7" customWidth="1"/>
    <col min="15886" max="15886" width="16.5703125" style="7" customWidth="1"/>
    <col min="15887" max="15887" width="15.140625" style="7" customWidth="1"/>
    <col min="15888" max="15888" width="19.7109375" style="7" customWidth="1"/>
    <col min="15889" max="15889" width="19.5703125" style="7" customWidth="1"/>
    <col min="15890" max="15890" width="13.7109375" style="7" customWidth="1"/>
    <col min="15891" max="15891" width="34.42578125" style="7" customWidth="1"/>
    <col min="15892" max="15892" width="26.7109375" style="7" customWidth="1"/>
    <col min="15893" max="15893" width="15.28515625" style="7" customWidth="1"/>
    <col min="15894" max="15894" width="9.140625" style="7"/>
    <col min="15895" max="15895" width="18.28515625" style="7" customWidth="1"/>
    <col min="15896" max="16131" width="9.140625" style="7"/>
    <col min="16132" max="16132" width="4.28515625" style="7" customWidth="1"/>
    <col min="16133" max="16133" width="52.7109375" style="7" customWidth="1"/>
    <col min="16134" max="16134" width="9.28515625" style="7" customWidth="1"/>
    <col min="16135" max="16135" width="17.7109375" style="7" customWidth="1"/>
    <col min="16136" max="16136" width="65.140625" style="7" customWidth="1"/>
    <col min="16137" max="16138" width="10.140625" style="7" customWidth="1"/>
    <col min="16139" max="16139" width="11.7109375" style="7" customWidth="1"/>
    <col min="16140" max="16140" width="13.85546875" style="7" customWidth="1"/>
    <col min="16141" max="16141" width="16.7109375" style="7" customWidth="1"/>
    <col min="16142" max="16142" width="16.5703125" style="7" customWidth="1"/>
    <col min="16143" max="16143" width="15.140625" style="7" customWidth="1"/>
    <col min="16144" max="16144" width="19.7109375" style="7" customWidth="1"/>
    <col min="16145" max="16145" width="19.5703125" style="7" customWidth="1"/>
    <col min="16146" max="16146" width="13.7109375" style="7" customWidth="1"/>
    <col min="16147" max="16147" width="34.42578125" style="7" customWidth="1"/>
    <col min="16148" max="16148" width="26.7109375" style="7" customWidth="1"/>
    <col min="16149" max="16149" width="15.28515625" style="7" customWidth="1"/>
    <col min="16150" max="16150" width="9.140625" style="7"/>
    <col min="16151" max="16151" width="18.28515625" style="7" customWidth="1"/>
    <col min="16152" max="16384" width="9.140625" style="7"/>
  </cols>
  <sheetData>
    <row r="1" spans="1:33" ht="20.25" customHeight="1" x14ac:dyDescent="0.25">
      <c r="B1" s="175" t="s">
        <v>484</v>
      </c>
      <c r="C1" s="175"/>
      <c r="D1" s="175"/>
    </row>
    <row r="2" spans="1:33" ht="23.25" customHeight="1" x14ac:dyDescent="0.25">
      <c r="A2" s="1"/>
      <c r="B2" s="175"/>
      <c r="C2" s="175"/>
      <c r="D2" s="175"/>
      <c r="E2" s="2"/>
      <c r="F2" s="2"/>
      <c r="G2" s="3"/>
      <c r="H2" s="3"/>
      <c r="I2" s="4"/>
      <c r="J2" s="4"/>
      <c r="K2" s="5"/>
      <c r="L2" s="4"/>
      <c r="M2" s="2"/>
      <c r="N2" s="1"/>
      <c r="O2" s="1"/>
      <c r="P2" s="1"/>
      <c r="Q2" s="1"/>
      <c r="R2" s="2"/>
      <c r="S2" s="155"/>
      <c r="T2" s="6"/>
    </row>
    <row r="3" spans="1:33" ht="30.75" customHeight="1" x14ac:dyDescent="0.25">
      <c r="A3" s="65"/>
      <c r="B3" s="177" t="s">
        <v>483</v>
      </c>
      <c r="C3" s="177"/>
      <c r="D3" s="177"/>
      <c r="E3" s="177"/>
      <c r="F3" s="177"/>
      <c r="G3" s="177"/>
      <c r="H3" s="177"/>
      <c r="I3" s="177"/>
      <c r="J3" s="177"/>
      <c r="K3" s="177"/>
      <c r="L3" s="177"/>
      <c r="M3" s="177"/>
      <c r="N3" s="177"/>
      <c r="O3" s="177"/>
      <c r="P3" s="177"/>
      <c r="Q3" s="177"/>
      <c r="R3" s="177"/>
      <c r="S3" s="177"/>
      <c r="T3" s="177"/>
    </row>
    <row r="4" spans="1:33" ht="24" customHeight="1" x14ac:dyDescent="0.25">
      <c r="A4" s="64"/>
      <c r="B4" s="176" t="s">
        <v>485</v>
      </c>
      <c r="C4" s="176"/>
      <c r="D4" s="176"/>
      <c r="E4" s="176"/>
      <c r="F4" s="176"/>
      <c r="G4" s="176"/>
      <c r="H4" s="176"/>
      <c r="I4" s="176"/>
      <c r="J4" s="176"/>
      <c r="K4" s="176"/>
      <c r="L4" s="176"/>
      <c r="M4" s="176"/>
      <c r="N4" s="176"/>
      <c r="O4" s="176"/>
      <c r="P4" s="176"/>
      <c r="Q4" s="176"/>
      <c r="R4" s="176"/>
      <c r="S4" s="176"/>
      <c r="T4" s="176"/>
    </row>
    <row r="5" spans="1:33" ht="18" x14ac:dyDescent="0.25">
      <c r="A5" s="8"/>
      <c r="B5" s="174" t="s">
        <v>490</v>
      </c>
      <c r="C5" s="174"/>
      <c r="D5" s="174"/>
      <c r="E5" s="174"/>
      <c r="F5" s="174"/>
      <c r="G5" s="174"/>
      <c r="H5" s="174"/>
      <c r="I5" s="174"/>
      <c r="J5" s="174"/>
      <c r="K5" s="174"/>
      <c r="L5" s="174"/>
      <c r="M5" s="174"/>
      <c r="N5" s="174"/>
      <c r="O5" s="174"/>
      <c r="P5" s="174"/>
      <c r="Q5" s="174"/>
      <c r="R5" s="174"/>
      <c r="S5" s="174"/>
      <c r="T5" s="174"/>
    </row>
    <row r="6" spans="1:33" ht="24.75" customHeight="1" x14ac:dyDescent="0.25">
      <c r="A6" s="172" t="s">
        <v>0</v>
      </c>
      <c r="B6" s="178" t="s">
        <v>611</v>
      </c>
      <c r="C6" s="178"/>
      <c r="D6" s="178"/>
      <c r="E6" s="178"/>
      <c r="F6" s="178"/>
      <c r="G6" s="178"/>
      <c r="H6" s="178"/>
      <c r="I6" s="178"/>
      <c r="J6" s="178"/>
      <c r="K6" s="178"/>
      <c r="L6" s="178"/>
      <c r="M6" s="178"/>
      <c r="N6" s="178"/>
      <c r="O6" s="178"/>
      <c r="P6" s="178"/>
      <c r="Q6" s="178"/>
      <c r="R6" s="178"/>
      <c r="S6" s="178"/>
      <c r="T6" s="178"/>
      <c r="U6" s="171" t="s">
        <v>612</v>
      </c>
      <c r="V6" s="171"/>
      <c r="W6" s="171"/>
      <c r="X6" s="171"/>
      <c r="Y6" s="171"/>
      <c r="Z6" s="171"/>
      <c r="AA6" s="171"/>
      <c r="AB6" s="171"/>
      <c r="AC6" s="171"/>
      <c r="AD6" s="171"/>
      <c r="AE6" s="171"/>
      <c r="AF6" s="171"/>
      <c r="AG6" s="171"/>
    </row>
    <row r="7" spans="1:33" s="66" customFormat="1" ht="36.75" customHeight="1" x14ac:dyDescent="0.25">
      <c r="A7" s="173"/>
      <c r="B7" s="152" t="s">
        <v>1</v>
      </c>
      <c r="C7" s="67" t="s">
        <v>2</v>
      </c>
      <c r="D7" s="68" t="s">
        <v>3</v>
      </c>
      <c r="E7" s="68" t="s">
        <v>4</v>
      </c>
      <c r="F7" s="68" t="s">
        <v>5</v>
      </c>
      <c r="G7" s="69" t="s">
        <v>6</v>
      </c>
      <c r="H7" s="69" t="s">
        <v>7</v>
      </c>
      <c r="I7" s="70" t="s">
        <v>8</v>
      </c>
      <c r="J7" s="70" t="s">
        <v>9</v>
      </c>
      <c r="K7" s="67" t="s">
        <v>10</v>
      </c>
      <c r="L7" s="70" t="s">
        <v>11</v>
      </c>
      <c r="M7" s="68" t="s">
        <v>12</v>
      </c>
      <c r="N7" s="68" t="s">
        <v>13</v>
      </c>
      <c r="O7" s="68" t="s">
        <v>14</v>
      </c>
      <c r="P7" s="68" t="s">
        <v>463</v>
      </c>
      <c r="Q7" s="68" t="s">
        <v>486</v>
      </c>
      <c r="R7" s="68" t="s">
        <v>15</v>
      </c>
      <c r="S7" s="68" t="s">
        <v>16</v>
      </c>
      <c r="T7" s="135" t="s">
        <v>17</v>
      </c>
      <c r="U7" s="149" t="s">
        <v>600</v>
      </c>
      <c r="V7" s="150" t="s">
        <v>602</v>
      </c>
      <c r="W7" s="150" t="s">
        <v>601</v>
      </c>
      <c r="X7" s="150" t="s">
        <v>603</v>
      </c>
      <c r="Y7" s="150" t="s">
        <v>614</v>
      </c>
      <c r="Z7" s="151" t="s">
        <v>604</v>
      </c>
      <c r="AA7" s="150" t="s">
        <v>605</v>
      </c>
      <c r="AB7" s="150" t="s">
        <v>606</v>
      </c>
      <c r="AC7" s="150" t="s">
        <v>607</v>
      </c>
      <c r="AD7" s="150" t="s">
        <v>608</v>
      </c>
      <c r="AE7" s="151" t="s">
        <v>609</v>
      </c>
      <c r="AF7" s="150" t="s">
        <v>610</v>
      </c>
      <c r="AG7" s="150" t="s">
        <v>613</v>
      </c>
    </row>
    <row r="8" spans="1:33" s="18" customFormat="1" ht="24" customHeight="1" x14ac:dyDescent="0.25">
      <c r="A8" s="10" t="s">
        <v>18</v>
      </c>
      <c r="B8" s="11" t="s">
        <v>19</v>
      </c>
      <c r="C8" s="12"/>
      <c r="D8" s="13"/>
      <c r="E8" s="14"/>
      <c r="F8" s="13"/>
      <c r="G8" s="15"/>
      <c r="H8" s="15"/>
      <c r="I8" s="16"/>
      <c r="J8" s="16"/>
      <c r="K8" s="12"/>
      <c r="L8" s="16"/>
      <c r="M8" s="13"/>
      <c r="N8" s="13"/>
      <c r="O8" s="13"/>
      <c r="P8" s="13"/>
      <c r="Q8" s="13"/>
      <c r="R8" s="13"/>
      <c r="S8" s="17"/>
      <c r="T8" s="136"/>
      <c r="U8" s="145"/>
      <c r="V8" s="39"/>
      <c r="W8" s="39"/>
      <c r="X8" s="39"/>
      <c r="Y8" s="39"/>
      <c r="Z8" s="39"/>
      <c r="AA8" s="39"/>
      <c r="AB8" s="39"/>
      <c r="AC8" s="39"/>
      <c r="AD8" s="39"/>
      <c r="AE8" s="39"/>
      <c r="AF8" s="39"/>
      <c r="AG8" s="39"/>
    </row>
    <row r="9" spans="1:33" s="18" customFormat="1" ht="24" customHeight="1" x14ac:dyDescent="0.25">
      <c r="A9" s="19">
        <v>1</v>
      </c>
      <c r="B9" s="20"/>
      <c r="C9" s="9"/>
      <c r="D9" s="21"/>
      <c r="E9" s="71"/>
      <c r="F9" s="19"/>
      <c r="G9" s="22"/>
      <c r="H9" s="22"/>
      <c r="I9" s="23"/>
      <c r="J9" s="23"/>
      <c r="K9" s="9"/>
      <c r="L9" s="23"/>
      <c r="M9" s="19"/>
      <c r="N9" s="19"/>
      <c r="O9" s="19"/>
      <c r="P9" s="19"/>
      <c r="Q9" s="19"/>
      <c r="R9" s="19"/>
      <c r="S9" s="156"/>
      <c r="T9" s="137"/>
      <c r="U9" s="146"/>
      <c r="V9" s="34"/>
      <c r="W9" s="32"/>
      <c r="X9" s="34"/>
      <c r="Y9" s="34"/>
      <c r="Z9" s="34"/>
      <c r="AA9" s="32"/>
      <c r="AB9" s="32"/>
      <c r="AC9" s="32"/>
      <c r="AD9" s="32"/>
      <c r="AE9" s="32"/>
      <c r="AF9" s="32"/>
      <c r="AG9" s="32"/>
    </row>
    <row r="10" spans="1:33" s="18" customFormat="1" ht="24" customHeight="1" x14ac:dyDescent="0.25">
      <c r="A10" s="10" t="s">
        <v>102</v>
      </c>
      <c r="B10" s="11" t="s">
        <v>103</v>
      </c>
      <c r="C10" s="12"/>
      <c r="D10" s="13"/>
      <c r="E10" s="14"/>
      <c r="F10" s="13"/>
      <c r="G10" s="15"/>
      <c r="H10" s="15"/>
      <c r="I10" s="16"/>
      <c r="J10" s="16"/>
      <c r="K10" s="12"/>
      <c r="L10" s="16"/>
      <c r="M10" s="13"/>
      <c r="N10" s="39"/>
      <c r="O10" s="39"/>
      <c r="P10" s="39"/>
      <c r="Q10" s="39"/>
      <c r="R10" s="40"/>
      <c r="S10" s="158"/>
      <c r="T10" s="141"/>
      <c r="U10" s="40"/>
      <c r="V10" s="145"/>
      <c r="W10" s="39"/>
      <c r="X10" s="39"/>
      <c r="Y10" s="39"/>
      <c r="Z10" s="39"/>
      <c r="AA10" s="39"/>
      <c r="AB10" s="39"/>
      <c r="AC10" s="39"/>
      <c r="AD10" s="39"/>
      <c r="AE10" s="39"/>
      <c r="AF10" s="39"/>
      <c r="AG10" s="39"/>
    </row>
    <row r="11" spans="1:33" s="18" customFormat="1" ht="24" customHeight="1" x14ac:dyDescent="0.25">
      <c r="A11" s="26">
        <v>1</v>
      </c>
      <c r="B11" s="36"/>
      <c r="C11" s="24"/>
      <c r="D11" s="26"/>
      <c r="E11" s="43"/>
      <c r="F11" s="26"/>
      <c r="G11" s="28"/>
      <c r="H11" s="28"/>
      <c r="I11" s="29"/>
      <c r="J11" s="29"/>
      <c r="K11" s="24"/>
      <c r="L11" s="29"/>
      <c r="M11" s="26"/>
      <c r="N11" s="35"/>
      <c r="O11" s="35"/>
      <c r="P11" s="35"/>
      <c r="Q11" s="35"/>
      <c r="R11" s="30"/>
      <c r="S11" s="157"/>
      <c r="T11" s="140"/>
      <c r="U11" s="146"/>
      <c r="V11" s="146"/>
      <c r="W11" s="32"/>
      <c r="X11" s="34"/>
      <c r="Y11" s="34"/>
      <c r="Z11" s="34"/>
      <c r="AA11" s="32"/>
      <c r="AB11" s="32"/>
      <c r="AC11" s="32"/>
      <c r="AD11" s="32"/>
      <c r="AE11" s="32"/>
      <c r="AF11" s="32"/>
      <c r="AG11" s="32"/>
    </row>
    <row r="12" spans="1:33" s="31" customFormat="1" ht="24" customHeight="1" x14ac:dyDescent="0.25">
      <c r="A12" s="26">
        <v>2</v>
      </c>
      <c r="B12" s="36" t="s">
        <v>114</v>
      </c>
      <c r="C12" s="9"/>
      <c r="D12" s="26" t="s">
        <v>104</v>
      </c>
      <c r="E12" s="43" t="s">
        <v>116</v>
      </c>
      <c r="F12" s="26">
        <v>2018</v>
      </c>
      <c r="G12" s="28">
        <v>43320</v>
      </c>
      <c r="H12" s="28" t="s">
        <v>23</v>
      </c>
      <c r="I12" s="29">
        <v>16470000</v>
      </c>
      <c r="J12" s="29" t="s">
        <v>24</v>
      </c>
      <c r="K12" s="24" t="s">
        <v>159</v>
      </c>
      <c r="L12" s="29">
        <v>1499000</v>
      </c>
      <c r="M12" s="26" t="s">
        <v>433</v>
      </c>
      <c r="N12" s="35" t="s">
        <v>160</v>
      </c>
      <c r="O12" s="35" t="s">
        <v>27</v>
      </c>
      <c r="P12" s="35">
        <v>2026</v>
      </c>
      <c r="Q12" s="35"/>
      <c r="R12" s="30"/>
      <c r="S12" s="157" t="s">
        <v>115</v>
      </c>
      <c r="T12" s="140" t="s">
        <v>462</v>
      </c>
      <c r="U12" s="146" t="s">
        <v>627</v>
      </c>
      <c r="V12" s="34" t="s">
        <v>617</v>
      </c>
      <c r="W12" s="35"/>
      <c r="X12" s="34" t="s">
        <v>622</v>
      </c>
      <c r="Y12" s="34" t="s">
        <v>621</v>
      </c>
      <c r="Z12" s="34" t="s">
        <v>628</v>
      </c>
      <c r="AA12" s="35"/>
      <c r="AB12" s="35"/>
      <c r="AC12" s="35"/>
      <c r="AD12" s="35"/>
      <c r="AE12" s="35"/>
      <c r="AF12" s="35"/>
      <c r="AG12" s="35"/>
    </row>
    <row r="13" spans="1:33" s="31" customFormat="1" ht="24" customHeight="1" x14ac:dyDescent="0.25">
      <c r="A13" s="26">
        <v>3</v>
      </c>
      <c r="B13" s="36" t="s">
        <v>163</v>
      </c>
      <c r="C13" s="24"/>
      <c r="D13" s="26" t="s">
        <v>104</v>
      </c>
      <c r="E13" s="43" t="s">
        <v>461</v>
      </c>
      <c r="F13" s="26">
        <v>2021</v>
      </c>
      <c r="G13" s="28">
        <v>44342</v>
      </c>
      <c r="H13" s="28" t="s">
        <v>23</v>
      </c>
      <c r="I13" s="29">
        <v>15587000</v>
      </c>
      <c r="J13" s="29" t="s">
        <v>24</v>
      </c>
      <c r="K13" s="24" t="s">
        <v>34</v>
      </c>
      <c r="L13" s="29"/>
      <c r="M13" s="26" t="s">
        <v>433</v>
      </c>
      <c r="N13" s="35" t="s">
        <v>164</v>
      </c>
      <c r="O13" s="35" t="s">
        <v>27</v>
      </c>
      <c r="P13" s="35"/>
      <c r="Q13" s="35"/>
      <c r="R13" s="30"/>
      <c r="S13" s="160" t="s">
        <v>65</v>
      </c>
      <c r="T13" s="140"/>
      <c r="U13" s="146" t="s">
        <v>626</v>
      </c>
      <c r="V13" s="34" t="s">
        <v>617</v>
      </c>
      <c r="W13" s="35"/>
      <c r="X13" s="34" t="s">
        <v>622</v>
      </c>
      <c r="Y13" s="34" t="s">
        <v>621</v>
      </c>
      <c r="Z13" s="34" t="s">
        <v>628</v>
      </c>
      <c r="AA13" s="35"/>
      <c r="AB13" s="35"/>
      <c r="AC13" s="35"/>
      <c r="AD13" s="35"/>
      <c r="AE13" s="35"/>
      <c r="AF13" s="35"/>
      <c r="AG13" s="35"/>
    </row>
    <row r="14" spans="1:33" s="18" customFormat="1" ht="24" customHeight="1" x14ac:dyDescent="0.25">
      <c r="A14" s="10" t="s">
        <v>220</v>
      </c>
      <c r="B14" s="11" t="s">
        <v>221</v>
      </c>
      <c r="C14" s="12"/>
      <c r="D14" s="13"/>
      <c r="E14" s="14"/>
      <c r="F14" s="13"/>
      <c r="G14" s="15"/>
      <c r="H14" s="15"/>
      <c r="I14" s="16"/>
      <c r="J14" s="16"/>
      <c r="K14" s="12"/>
      <c r="L14" s="16"/>
      <c r="M14" s="13"/>
      <c r="N14" s="39"/>
      <c r="O14" s="39"/>
      <c r="P14" s="39"/>
      <c r="Q14" s="39"/>
      <c r="R14" s="40"/>
      <c r="S14" s="158"/>
      <c r="T14" s="141"/>
      <c r="U14" s="40"/>
      <c r="V14" s="145"/>
      <c r="W14" s="39"/>
      <c r="X14" s="39"/>
      <c r="Y14" s="39"/>
      <c r="Z14" s="39"/>
      <c r="AA14" s="39"/>
      <c r="AB14" s="39"/>
      <c r="AC14" s="39"/>
      <c r="AD14" s="39"/>
      <c r="AE14" s="39"/>
      <c r="AF14" s="39"/>
      <c r="AG14" s="39"/>
    </row>
    <row r="15" spans="1:33" s="18" customFormat="1" ht="24" customHeight="1" x14ac:dyDescent="0.25">
      <c r="A15" s="19">
        <v>1</v>
      </c>
      <c r="B15" s="20"/>
      <c r="C15" s="9"/>
      <c r="D15" s="19"/>
      <c r="E15" s="20"/>
      <c r="F15" s="19"/>
      <c r="G15" s="22"/>
      <c r="H15" s="22"/>
      <c r="I15" s="23"/>
      <c r="J15" s="23"/>
      <c r="K15" s="9"/>
      <c r="L15" s="23"/>
      <c r="M15" s="19"/>
      <c r="N15" s="32"/>
      <c r="O15" s="32"/>
      <c r="P15" s="32"/>
      <c r="Q15" s="32"/>
      <c r="R15" s="33"/>
      <c r="S15" s="55"/>
      <c r="T15" s="139"/>
      <c r="U15" s="33"/>
      <c r="V15" s="147"/>
      <c r="W15" s="32"/>
      <c r="X15" s="32"/>
      <c r="Y15" s="32"/>
      <c r="Z15" s="32"/>
      <c r="AA15" s="32"/>
      <c r="AB15" s="32"/>
      <c r="AC15" s="32"/>
      <c r="AD15" s="32"/>
      <c r="AE15" s="32"/>
      <c r="AF15" s="32"/>
      <c r="AG15" s="32"/>
    </row>
    <row r="16" spans="1:33" s="18" customFormat="1" ht="24" customHeight="1" x14ac:dyDescent="0.25">
      <c r="A16" s="19">
        <v>2</v>
      </c>
      <c r="B16" s="20"/>
      <c r="C16" s="24"/>
      <c r="D16" s="19"/>
      <c r="E16" s="20"/>
      <c r="F16" s="19"/>
      <c r="G16" s="22"/>
      <c r="H16" s="22"/>
      <c r="I16" s="23"/>
      <c r="J16" s="23"/>
      <c r="K16" s="9"/>
      <c r="L16" s="23"/>
      <c r="M16" s="19"/>
      <c r="N16" s="32"/>
      <c r="O16" s="32"/>
      <c r="P16" s="32"/>
      <c r="Q16" s="32"/>
      <c r="R16" s="33"/>
      <c r="S16" s="55"/>
      <c r="T16" s="139"/>
      <c r="U16" s="33"/>
      <c r="V16" s="147"/>
      <c r="W16" s="32"/>
      <c r="X16" s="32"/>
      <c r="Y16" s="32"/>
      <c r="Z16" s="32"/>
      <c r="AA16" s="32"/>
      <c r="AB16" s="32"/>
      <c r="AC16" s="32"/>
      <c r="AD16" s="32"/>
      <c r="AE16" s="32"/>
      <c r="AF16" s="32"/>
      <c r="AG16" s="32"/>
    </row>
    <row r="17" spans="1:33" s="18" customFormat="1" ht="24" customHeight="1" x14ac:dyDescent="0.25">
      <c r="A17" s="19">
        <v>3</v>
      </c>
      <c r="B17" s="20"/>
      <c r="C17" s="24"/>
      <c r="D17" s="19"/>
      <c r="E17" s="20"/>
      <c r="F17" s="19"/>
      <c r="G17" s="22"/>
      <c r="H17" s="22"/>
      <c r="I17" s="23"/>
      <c r="J17" s="23"/>
      <c r="K17" s="9"/>
      <c r="L17" s="23"/>
      <c r="M17" s="19"/>
      <c r="N17" s="32"/>
      <c r="O17" s="32"/>
      <c r="P17" s="32"/>
      <c r="Q17" s="32"/>
      <c r="R17" s="33"/>
      <c r="S17" s="55"/>
      <c r="T17" s="139"/>
      <c r="U17" s="33"/>
      <c r="V17" s="147"/>
      <c r="W17" s="32"/>
      <c r="X17" s="32"/>
      <c r="Y17" s="32"/>
      <c r="Z17" s="32"/>
      <c r="AA17" s="32"/>
      <c r="AB17" s="32"/>
      <c r="AC17" s="32"/>
      <c r="AD17" s="32"/>
      <c r="AE17" s="32"/>
      <c r="AF17" s="32"/>
      <c r="AG17" s="32"/>
    </row>
    <row r="18" spans="1:33" s="18" customFormat="1" ht="24" customHeight="1" x14ac:dyDescent="0.25">
      <c r="A18" s="10" t="s">
        <v>232</v>
      </c>
      <c r="B18" s="11" t="s">
        <v>233</v>
      </c>
      <c r="C18" s="12"/>
      <c r="D18" s="13"/>
      <c r="E18" s="14"/>
      <c r="F18" s="13"/>
      <c r="G18" s="15"/>
      <c r="H18" s="15"/>
      <c r="I18" s="16"/>
      <c r="J18" s="16"/>
      <c r="K18" s="12"/>
      <c r="L18" s="16"/>
      <c r="M18" s="13"/>
      <c r="N18" s="39"/>
      <c r="O18" s="39"/>
      <c r="P18" s="39"/>
      <c r="Q18" s="39"/>
      <c r="R18" s="40"/>
      <c r="S18" s="158"/>
      <c r="T18" s="141"/>
      <c r="U18" s="40"/>
      <c r="V18" s="145"/>
      <c r="W18" s="39"/>
      <c r="X18" s="39"/>
      <c r="Y18" s="39"/>
      <c r="Z18" s="39"/>
      <c r="AA18" s="39"/>
      <c r="AB18" s="39"/>
      <c r="AC18" s="39"/>
      <c r="AD18" s="39"/>
      <c r="AE18" s="39"/>
      <c r="AF18" s="39"/>
      <c r="AG18" s="39"/>
    </row>
    <row r="19" spans="1:33" s="18" customFormat="1" ht="24" customHeight="1" x14ac:dyDescent="0.25">
      <c r="A19" s="19">
        <v>1</v>
      </c>
      <c r="B19" s="20"/>
      <c r="C19" s="9"/>
      <c r="D19" s="19"/>
      <c r="E19" s="42"/>
      <c r="F19" s="19"/>
      <c r="G19" s="22"/>
      <c r="H19" s="22"/>
      <c r="I19" s="23"/>
      <c r="J19" s="23"/>
      <c r="K19" s="9"/>
      <c r="L19" s="23"/>
      <c r="M19" s="19"/>
      <c r="N19" s="19"/>
      <c r="O19" s="32"/>
      <c r="P19" s="32"/>
      <c r="Q19" s="32"/>
      <c r="R19" s="33"/>
      <c r="S19" s="55"/>
      <c r="T19" s="139"/>
      <c r="U19" s="34"/>
      <c r="V19" s="147"/>
      <c r="W19" s="32"/>
      <c r="X19" s="32"/>
      <c r="Y19" s="34"/>
      <c r="Z19" s="32"/>
      <c r="AA19" s="32"/>
      <c r="AB19" s="32"/>
      <c r="AC19" s="32"/>
      <c r="AD19" s="32"/>
      <c r="AE19" s="32"/>
      <c r="AF19" s="32"/>
      <c r="AG19" s="34" t="s">
        <v>647</v>
      </c>
    </row>
    <row r="20" spans="1:33" s="18" customFormat="1" ht="24" customHeight="1" x14ac:dyDescent="0.25">
      <c r="A20" s="19">
        <v>2</v>
      </c>
      <c r="B20" s="20"/>
      <c r="C20" s="9"/>
      <c r="D20" s="19"/>
      <c r="E20" s="42"/>
      <c r="F20" s="19"/>
      <c r="G20" s="22"/>
      <c r="H20" s="22"/>
      <c r="I20" s="23"/>
      <c r="J20" s="23"/>
      <c r="K20" s="9"/>
      <c r="L20" s="23"/>
      <c r="M20" s="19"/>
      <c r="N20" s="32"/>
      <c r="O20" s="32"/>
      <c r="P20" s="32"/>
      <c r="Q20" s="32"/>
      <c r="R20" s="33"/>
      <c r="S20" s="55"/>
      <c r="T20" s="139"/>
      <c r="U20" s="34"/>
      <c r="V20" s="147"/>
      <c r="W20" s="32"/>
      <c r="X20" s="32"/>
      <c r="Y20" s="34"/>
      <c r="Z20" s="32"/>
      <c r="AA20" s="32"/>
      <c r="AB20" s="32"/>
      <c r="AC20" s="32"/>
      <c r="AD20" s="32"/>
      <c r="AE20" s="32"/>
      <c r="AF20" s="32"/>
      <c r="AG20" s="34" t="s">
        <v>646</v>
      </c>
    </row>
    <row r="21" spans="1:33" s="18" customFormat="1" ht="24" customHeight="1" x14ac:dyDescent="0.25">
      <c r="A21" s="19">
        <v>3</v>
      </c>
      <c r="B21" s="20"/>
      <c r="C21" s="9"/>
      <c r="D21" s="19"/>
      <c r="E21" s="42"/>
      <c r="F21" s="19"/>
      <c r="G21" s="22"/>
      <c r="H21" s="22"/>
      <c r="I21" s="23"/>
      <c r="J21" s="23"/>
      <c r="K21" s="9"/>
      <c r="L21" s="23"/>
      <c r="M21" s="19"/>
      <c r="N21" s="32"/>
      <c r="O21" s="32"/>
      <c r="P21" s="32"/>
      <c r="Q21" s="32"/>
      <c r="R21" s="33"/>
      <c r="S21" s="55"/>
      <c r="T21" s="139"/>
      <c r="U21" s="34"/>
      <c r="V21" s="147"/>
      <c r="W21" s="32"/>
      <c r="X21" s="32"/>
      <c r="Y21" s="34"/>
      <c r="Z21" s="32"/>
      <c r="AA21" s="32"/>
      <c r="AB21" s="32"/>
      <c r="AC21" s="32"/>
      <c r="AD21" s="32"/>
      <c r="AE21" s="32"/>
      <c r="AF21" s="32"/>
      <c r="AG21" s="34" t="s">
        <v>645</v>
      </c>
    </row>
    <row r="22" spans="1:33" s="18" customFormat="1" ht="24" customHeight="1" x14ac:dyDescent="0.25">
      <c r="A22" s="10" t="s">
        <v>243</v>
      </c>
      <c r="B22" s="11" t="s">
        <v>244</v>
      </c>
      <c r="C22" s="12"/>
      <c r="D22" s="13"/>
      <c r="E22" s="14"/>
      <c r="F22" s="13"/>
      <c r="G22" s="15"/>
      <c r="H22" s="15"/>
      <c r="I22" s="16"/>
      <c r="J22" s="16"/>
      <c r="K22" s="12"/>
      <c r="L22" s="16"/>
      <c r="M22" s="13"/>
      <c r="N22" s="39"/>
      <c r="O22" s="39"/>
      <c r="P22" s="39"/>
      <c r="Q22" s="39"/>
      <c r="R22" s="40"/>
      <c r="S22" s="158"/>
      <c r="T22" s="141"/>
      <c r="U22" s="40"/>
      <c r="V22" s="145"/>
      <c r="W22" s="39"/>
      <c r="X22" s="39"/>
      <c r="Y22" s="39"/>
      <c r="Z22" s="39"/>
      <c r="AA22" s="39"/>
      <c r="AB22" s="39"/>
      <c r="AC22" s="39"/>
      <c r="AD22" s="39"/>
      <c r="AE22" s="39"/>
      <c r="AF22" s="39"/>
      <c r="AG22" s="39"/>
    </row>
    <row r="23" spans="1:33" s="18" customFormat="1" ht="36" customHeight="1" x14ac:dyDescent="0.25">
      <c r="A23" s="19">
        <v>1</v>
      </c>
      <c r="B23" s="20"/>
      <c r="C23" s="9"/>
      <c r="D23" s="19"/>
      <c r="E23" s="42"/>
      <c r="F23" s="19"/>
      <c r="G23" s="22"/>
      <c r="H23" s="22"/>
      <c r="I23" s="23"/>
      <c r="J23" s="23"/>
      <c r="K23" s="23"/>
      <c r="L23" s="23"/>
      <c r="M23" s="26"/>
      <c r="N23" s="32"/>
      <c r="O23" s="32"/>
      <c r="P23" s="32"/>
      <c r="Q23" s="32"/>
      <c r="R23" s="33"/>
      <c r="S23" s="55"/>
      <c r="T23" s="139"/>
      <c r="U23" s="33"/>
      <c r="V23" s="147"/>
      <c r="W23" s="32"/>
      <c r="X23" s="32"/>
      <c r="Y23" s="32"/>
      <c r="Z23" s="32"/>
      <c r="AA23" s="32"/>
      <c r="AB23" s="32"/>
      <c r="AC23" s="32"/>
      <c r="AD23" s="32"/>
      <c r="AE23" s="32"/>
      <c r="AF23" s="32"/>
      <c r="AG23" s="32"/>
    </row>
    <row r="24" spans="1:33" s="18" customFormat="1" ht="36" customHeight="1" x14ac:dyDescent="0.25">
      <c r="A24" s="19">
        <v>2</v>
      </c>
      <c r="B24" s="20"/>
      <c r="C24" s="9"/>
      <c r="D24" s="19"/>
      <c r="E24" s="42"/>
      <c r="F24" s="19"/>
      <c r="G24" s="22"/>
      <c r="H24" s="22"/>
      <c r="I24" s="23"/>
      <c r="J24" s="23"/>
      <c r="K24" s="23"/>
      <c r="L24" s="23"/>
      <c r="M24" s="26"/>
      <c r="N24" s="32"/>
      <c r="O24" s="32"/>
      <c r="P24" s="32"/>
      <c r="Q24" s="32"/>
      <c r="R24" s="33"/>
      <c r="S24" s="55"/>
      <c r="T24" s="139"/>
      <c r="U24" s="33"/>
      <c r="V24" s="147"/>
      <c r="W24" s="32"/>
      <c r="X24" s="32"/>
      <c r="Y24" s="32"/>
      <c r="Z24" s="32"/>
      <c r="AA24" s="32"/>
      <c r="AB24" s="32"/>
      <c r="AC24" s="32"/>
      <c r="AD24" s="32"/>
      <c r="AE24" s="32"/>
      <c r="AF24" s="32"/>
      <c r="AG24" s="32"/>
    </row>
    <row r="25" spans="1:33" s="53" customFormat="1" ht="24" customHeight="1" x14ac:dyDescent="0.25">
      <c r="A25" s="10" t="s">
        <v>252</v>
      </c>
      <c r="B25" s="11" t="s">
        <v>652</v>
      </c>
      <c r="C25" s="12"/>
      <c r="D25" s="13"/>
      <c r="E25" s="14"/>
      <c r="F25" s="13"/>
      <c r="G25" s="15"/>
      <c r="H25" s="15"/>
      <c r="I25" s="16"/>
      <c r="J25" s="16"/>
      <c r="K25" s="12"/>
      <c r="L25" s="16"/>
      <c r="M25" s="13"/>
      <c r="N25" s="39"/>
      <c r="O25" s="39"/>
      <c r="P25" s="39"/>
      <c r="Q25" s="39"/>
      <c r="R25" s="40"/>
      <c r="S25" s="158"/>
      <c r="T25" s="141"/>
      <c r="U25" s="40"/>
      <c r="V25" s="145"/>
      <c r="W25" s="39"/>
      <c r="X25" s="39"/>
      <c r="Y25" s="39"/>
      <c r="Z25" s="39"/>
      <c r="AA25" s="39"/>
      <c r="AB25" s="39"/>
      <c r="AC25" s="39"/>
      <c r="AD25" s="39"/>
      <c r="AE25" s="39"/>
      <c r="AF25" s="39"/>
      <c r="AG25" s="39"/>
    </row>
    <row r="26" spans="1:33" s="18" customFormat="1" ht="24" customHeight="1" x14ac:dyDescent="0.25">
      <c r="A26" s="19">
        <v>1</v>
      </c>
      <c r="B26" s="20"/>
      <c r="C26" s="9"/>
      <c r="D26" s="19"/>
      <c r="E26" s="54"/>
      <c r="F26" s="19"/>
      <c r="G26" s="22"/>
      <c r="H26" s="22"/>
      <c r="I26" s="23"/>
      <c r="J26" s="23"/>
      <c r="K26" s="9"/>
      <c r="L26" s="23"/>
      <c r="M26" s="19"/>
      <c r="N26" s="32"/>
      <c r="O26" s="32"/>
      <c r="P26" s="32"/>
      <c r="Q26" s="32"/>
      <c r="R26" s="33"/>
      <c r="S26" s="55"/>
      <c r="T26" s="139"/>
      <c r="U26" s="33"/>
      <c r="V26" s="147"/>
      <c r="W26" s="32"/>
      <c r="X26" s="32"/>
      <c r="Y26" s="32"/>
      <c r="Z26" s="32"/>
      <c r="AA26" s="32"/>
      <c r="AB26" s="32"/>
      <c r="AC26" s="32"/>
      <c r="AD26" s="32"/>
      <c r="AE26" s="32"/>
      <c r="AF26" s="32"/>
      <c r="AG26" s="32"/>
    </row>
    <row r="27" spans="1:33" s="18" customFormat="1" ht="24" customHeight="1" x14ac:dyDescent="0.25">
      <c r="A27" s="19">
        <v>2</v>
      </c>
      <c r="B27" s="20"/>
      <c r="C27" s="9"/>
      <c r="D27" s="19"/>
      <c r="E27" s="54"/>
      <c r="F27" s="19"/>
      <c r="G27" s="22"/>
      <c r="H27" s="22"/>
      <c r="I27" s="23"/>
      <c r="J27" s="23"/>
      <c r="K27" s="9"/>
      <c r="L27" s="23"/>
      <c r="M27" s="19"/>
      <c r="N27" s="32"/>
      <c r="O27" s="32"/>
      <c r="P27" s="32"/>
      <c r="Q27" s="32"/>
      <c r="R27" s="33"/>
      <c r="S27" s="55"/>
      <c r="T27" s="139"/>
      <c r="U27" s="33"/>
      <c r="V27" s="147"/>
      <c r="W27" s="32"/>
      <c r="X27" s="32"/>
      <c r="Y27" s="32"/>
      <c r="Z27" s="32"/>
      <c r="AA27" s="32"/>
      <c r="AB27" s="32"/>
      <c r="AC27" s="32"/>
      <c r="AD27" s="32"/>
      <c r="AE27" s="32"/>
      <c r="AF27" s="32"/>
      <c r="AG27" s="32"/>
    </row>
    <row r="28" spans="1:33" s="18" customFormat="1" ht="24" customHeight="1" x14ac:dyDescent="0.25">
      <c r="A28" s="19">
        <v>3</v>
      </c>
      <c r="B28" s="20"/>
      <c r="C28" s="9"/>
      <c r="D28" s="19"/>
      <c r="E28" s="54"/>
      <c r="F28" s="19"/>
      <c r="G28" s="22"/>
      <c r="H28" s="22"/>
      <c r="I28" s="23"/>
      <c r="J28" s="23"/>
      <c r="K28" s="9"/>
      <c r="L28" s="23"/>
      <c r="M28" s="19"/>
      <c r="N28" s="32"/>
      <c r="O28" s="32"/>
      <c r="P28" s="32"/>
      <c r="Q28" s="32"/>
      <c r="R28" s="33"/>
      <c r="S28" s="55"/>
      <c r="T28" s="139"/>
      <c r="U28" s="33"/>
      <c r="V28" s="147"/>
      <c r="W28" s="32"/>
      <c r="X28" s="32"/>
      <c r="Y28" s="32"/>
      <c r="Z28" s="32"/>
      <c r="AA28" s="32"/>
      <c r="AB28" s="32"/>
      <c r="AC28" s="32"/>
      <c r="AD28" s="32"/>
      <c r="AE28" s="32"/>
      <c r="AF28" s="32"/>
      <c r="AG28" s="32"/>
    </row>
    <row r="29" spans="1:33" s="18" customFormat="1" ht="24" customHeight="1" x14ac:dyDescent="0.25">
      <c r="A29" s="19">
        <v>4</v>
      </c>
      <c r="B29" s="20"/>
      <c r="C29" s="9"/>
      <c r="D29" s="19"/>
      <c r="E29" s="54"/>
      <c r="F29" s="19"/>
      <c r="G29" s="22"/>
      <c r="H29" s="22"/>
      <c r="I29" s="23"/>
      <c r="J29" s="23"/>
      <c r="K29" s="9"/>
      <c r="L29" s="23"/>
      <c r="M29" s="19"/>
      <c r="N29" s="32"/>
      <c r="O29" s="32"/>
      <c r="P29" s="32"/>
      <c r="Q29" s="32"/>
      <c r="R29" s="33"/>
      <c r="S29" s="55"/>
      <c r="T29" s="139"/>
      <c r="U29" s="33"/>
      <c r="V29" s="147"/>
      <c r="W29" s="32"/>
      <c r="X29" s="32"/>
      <c r="Y29" s="32"/>
      <c r="Z29" s="32"/>
      <c r="AA29" s="32"/>
      <c r="AB29" s="32"/>
      <c r="AC29" s="32"/>
      <c r="AD29" s="32"/>
      <c r="AE29" s="32"/>
      <c r="AF29" s="32"/>
      <c r="AG29" s="32"/>
    </row>
    <row r="30" spans="1:33" s="18" customFormat="1" ht="24" customHeight="1" x14ac:dyDescent="0.25">
      <c r="A30" s="19">
        <v>5</v>
      </c>
      <c r="B30" s="20"/>
      <c r="C30" s="24"/>
      <c r="D30" s="19"/>
      <c r="E30" s="42"/>
      <c r="F30" s="19"/>
      <c r="G30" s="22"/>
      <c r="H30" s="22"/>
      <c r="I30" s="23"/>
      <c r="J30" s="23"/>
      <c r="K30" s="9"/>
      <c r="L30" s="23"/>
      <c r="M30" s="19"/>
      <c r="N30" s="32"/>
      <c r="O30" s="32"/>
      <c r="P30" s="32"/>
      <c r="Q30" s="32"/>
      <c r="R30" s="33"/>
      <c r="S30" s="157"/>
      <c r="T30" s="139"/>
      <c r="U30" s="33"/>
      <c r="V30" s="147"/>
      <c r="W30" s="32"/>
      <c r="X30" s="32"/>
      <c r="Y30" s="32"/>
      <c r="Z30" s="32"/>
      <c r="AA30" s="32"/>
      <c r="AB30" s="32"/>
      <c r="AC30" s="32"/>
      <c r="AD30" s="32"/>
      <c r="AE30" s="32"/>
      <c r="AF30" s="32"/>
      <c r="AG30" s="32"/>
    </row>
    <row r="31" spans="1:33" s="18" customFormat="1" ht="24" customHeight="1" x14ac:dyDescent="0.25">
      <c r="A31" s="19">
        <v>6</v>
      </c>
      <c r="B31" s="20"/>
      <c r="C31" s="9"/>
      <c r="D31" s="19"/>
      <c r="E31" s="54"/>
      <c r="F31" s="19"/>
      <c r="G31" s="22"/>
      <c r="H31" s="22"/>
      <c r="I31" s="23"/>
      <c r="J31" s="23"/>
      <c r="K31" s="9"/>
      <c r="L31" s="23"/>
      <c r="M31" s="19"/>
      <c r="N31" s="32"/>
      <c r="O31" s="32"/>
      <c r="P31" s="32"/>
      <c r="Q31" s="32"/>
      <c r="R31" s="33"/>
      <c r="S31" s="55"/>
      <c r="T31" s="139"/>
      <c r="U31" s="33"/>
      <c r="V31" s="147"/>
      <c r="W31" s="32"/>
      <c r="X31" s="32"/>
      <c r="Y31" s="32"/>
      <c r="Z31" s="32"/>
      <c r="AA31" s="32"/>
      <c r="AB31" s="32"/>
      <c r="AC31" s="32"/>
      <c r="AD31" s="32"/>
      <c r="AE31" s="32"/>
      <c r="AF31" s="32"/>
      <c r="AG31" s="32"/>
    </row>
    <row r="32" spans="1:33" s="18" customFormat="1" ht="46.15" customHeight="1" x14ac:dyDescent="0.25">
      <c r="A32" s="19">
        <v>7</v>
      </c>
      <c r="B32" s="20"/>
      <c r="C32" s="9"/>
      <c r="D32" s="19"/>
      <c r="E32" s="54"/>
      <c r="F32" s="19"/>
      <c r="G32" s="22"/>
      <c r="H32" s="22"/>
      <c r="I32" s="23"/>
      <c r="J32" s="23"/>
      <c r="K32" s="9"/>
      <c r="L32" s="23"/>
      <c r="M32" s="32"/>
      <c r="N32" s="32"/>
      <c r="O32" s="32"/>
      <c r="P32" s="32"/>
      <c r="Q32" s="32"/>
      <c r="R32" s="33"/>
      <c r="S32" s="55"/>
      <c r="T32" s="139"/>
      <c r="U32" s="33"/>
      <c r="V32" s="147"/>
      <c r="W32" s="32"/>
      <c r="X32" s="32"/>
      <c r="Y32" s="32"/>
      <c r="Z32" s="32"/>
      <c r="AA32" s="32"/>
      <c r="AB32" s="32"/>
      <c r="AC32" s="32"/>
      <c r="AD32" s="32"/>
      <c r="AE32" s="32"/>
      <c r="AF32" s="32"/>
      <c r="AG32" s="32"/>
    </row>
    <row r="33" spans="1:33" s="18" customFormat="1" ht="54.4" customHeight="1" x14ac:dyDescent="0.25">
      <c r="A33" s="19">
        <v>8</v>
      </c>
      <c r="B33" s="20"/>
      <c r="C33" s="9"/>
      <c r="D33" s="19"/>
      <c r="E33" s="54"/>
      <c r="F33" s="19"/>
      <c r="G33" s="22"/>
      <c r="H33" s="22"/>
      <c r="I33" s="23"/>
      <c r="J33" s="23"/>
      <c r="K33" s="9"/>
      <c r="L33" s="23"/>
      <c r="M33" s="19"/>
      <c r="N33" s="32"/>
      <c r="O33" s="32"/>
      <c r="P33" s="32"/>
      <c r="Q33" s="32"/>
      <c r="R33" s="33"/>
      <c r="S33" s="55"/>
      <c r="T33" s="139"/>
      <c r="U33" s="33"/>
      <c r="V33" s="147"/>
      <c r="W33" s="32"/>
      <c r="X33" s="32"/>
      <c r="Y33" s="32"/>
      <c r="Z33" s="32"/>
      <c r="AA33" s="32"/>
      <c r="AB33" s="32"/>
      <c r="AC33" s="32"/>
      <c r="AD33" s="32"/>
      <c r="AE33" s="32"/>
      <c r="AF33" s="32"/>
      <c r="AG33" s="32"/>
    </row>
    <row r="34" spans="1:33" s="18" customFormat="1" ht="54.4" customHeight="1" x14ac:dyDescent="0.25">
      <c r="A34" s="19">
        <v>9</v>
      </c>
      <c r="B34" s="20"/>
      <c r="C34" s="9"/>
      <c r="D34" s="19"/>
      <c r="E34" s="54"/>
      <c r="F34" s="19"/>
      <c r="G34" s="22"/>
      <c r="H34" s="22"/>
      <c r="I34" s="23"/>
      <c r="J34" s="23"/>
      <c r="K34" s="9"/>
      <c r="L34" s="23"/>
      <c r="M34" s="19"/>
      <c r="N34" s="32"/>
      <c r="O34" s="32"/>
      <c r="P34" s="32"/>
      <c r="Q34" s="32"/>
      <c r="R34" s="33"/>
      <c r="S34" s="55"/>
      <c r="T34" s="139"/>
      <c r="U34" s="33"/>
      <c r="V34" s="147"/>
      <c r="W34" s="32"/>
      <c r="X34" s="32"/>
      <c r="Y34" s="32"/>
      <c r="Z34" s="32"/>
      <c r="AA34" s="32"/>
      <c r="AB34" s="32"/>
      <c r="AC34" s="32"/>
      <c r="AD34" s="32"/>
      <c r="AE34" s="32"/>
      <c r="AF34" s="32"/>
      <c r="AG34" s="32"/>
    </row>
    <row r="35" spans="1:33" s="18" customFormat="1" ht="54.4" customHeight="1" x14ac:dyDescent="0.25">
      <c r="A35" s="19">
        <v>10</v>
      </c>
      <c r="B35" s="20"/>
      <c r="C35" s="9"/>
      <c r="D35" s="19"/>
      <c r="E35" s="54"/>
      <c r="F35" s="19"/>
      <c r="G35" s="22"/>
      <c r="H35" s="22"/>
      <c r="I35" s="23"/>
      <c r="J35" s="23"/>
      <c r="K35" s="9"/>
      <c r="L35" s="23"/>
      <c r="M35" s="19"/>
      <c r="N35" s="32"/>
      <c r="O35" s="32"/>
      <c r="P35" s="32"/>
      <c r="Q35" s="32"/>
      <c r="R35" s="33"/>
      <c r="S35" s="55"/>
      <c r="T35" s="139"/>
      <c r="U35" s="33"/>
      <c r="V35" s="147"/>
      <c r="W35" s="32"/>
      <c r="X35" s="32"/>
      <c r="Y35" s="32"/>
      <c r="Z35" s="32"/>
      <c r="AA35" s="32"/>
      <c r="AB35" s="32"/>
      <c r="AC35" s="32"/>
      <c r="AD35" s="32"/>
      <c r="AE35" s="32"/>
      <c r="AF35" s="32"/>
      <c r="AG35" s="32"/>
    </row>
    <row r="36" spans="1:33" s="18" customFormat="1" ht="54.4" customHeight="1" x14ac:dyDescent="0.25">
      <c r="A36" s="19">
        <v>11</v>
      </c>
      <c r="B36" s="20"/>
      <c r="C36" s="9"/>
      <c r="D36" s="19"/>
      <c r="E36" s="54"/>
      <c r="F36" s="19"/>
      <c r="G36" s="22"/>
      <c r="H36" s="22"/>
      <c r="I36" s="23"/>
      <c r="J36" s="23"/>
      <c r="K36" s="9"/>
      <c r="L36" s="23"/>
      <c r="M36" s="19"/>
      <c r="N36" s="32"/>
      <c r="O36" s="32"/>
      <c r="P36" s="32"/>
      <c r="Q36" s="32"/>
      <c r="R36" s="33"/>
      <c r="S36" s="55"/>
      <c r="T36" s="139"/>
      <c r="U36" s="33"/>
      <c r="V36" s="147"/>
      <c r="W36" s="32"/>
      <c r="X36" s="32"/>
      <c r="Y36" s="32"/>
      <c r="Z36" s="32"/>
      <c r="AA36" s="32"/>
      <c r="AB36" s="32"/>
      <c r="AC36" s="32"/>
      <c r="AD36" s="32"/>
      <c r="AE36" s="32"/>
      <c r="AF36" s="32"/>
      <c r="AG36" s="32"/>
    </row>
    <row r="37" spans="1:33" s="18" customFormat="1" ht="84" customHeight="1" x14ac:dyDescent="0.25">
      <c r="A37" s="19">
        <v>12</v>
      </c>
      <c r="B37" s="20"/>
      <c r="C37" s="9"/>
      <c r="D37" s="19"/>
      <c r="E37" s="54"/>
      <c r="F37" s="19"/>
      <c r="G37" s="22"/>
      <c r="H37" s="22"/>
      <c r="I37" s="23"/>
      <c r="J37" s="23"/>
      <c r="K37" s="9"/>
      <c r="L37" s="23"/>
      <c r="M37" s="19"/>
      <c r="N37" s="32"/>
      <c r="O37" s="32"/>
      <c r="P37" s="32"/>
      <c r="Q37" s="32"/>
      <c r="R37" s="33"/>
      <c r="S37" s="55"/>
      <c r="T37" s="139"/>
      <c r="U37" s="33"/>
      <c r="V37" s="147"/>
      <c r="W37" s="32"/>
      <c r="X37" s="32"/>
      <c r="Y37" s="32"/>
      <c r="Z37" s="32"/>
      <c r="AA37" s="32"/>
      <c r="AB37" s="32"/>
      <c r="AC37" s="32"/>
      <c r="AD37" s="32"/>
      <c r="AE37" s="32"/>
      <c r="AF37" s="32"/>
      <c r="AG37" s="32"/>
    </row>
    <row r="38" spans="1:33" s="18" customFormat="1" ht="64.150000000000006" customHeight="1" x14ac:dyDescent="0.25">
      <c r="A38" s="19">
        <v>13</v>
      </c>
      <c r="B38" s="20"/>
      <c r="C38" s="9"/>
      <c r="D38" s="19"/>
      <c r="E38" s="54"/>
      <c r="F38" s="19"/>
      <c r="G38" s="22"/>
      <c r="H38" s="22"/>
      <c r="I38" s="23"/>
      <c r="J38" s="23"/>
      <c r="K38" s="9"/>
      <c r="L38" s="23"/>
      <c r="M38" s="19"/>
      <c r="N38" s="32"/>
      <c r="O38" s="32"/>
      <c r="P38" s="32"/>
      <c r="Q38" s="32"/>
      <c r="R38" s="33"/>
      <c r="S38" s="55"/>
      <c r="T38" s="139"/>
      <c r="U38" s="33"/>
      <c r="V38" s="147"/>
      <c r="W38" s="32"/>
      <c r="X38" s="32"/>
      <c r="Y38" s="32"/>
      <c r="Z38" s="32"/>
      <c r="AA38" s="32"/>
      <c r="AB38" s="32"/>
      <c r="AC38" s="32"/>
      <c r="AD38" s="32"/>
      <c r="AE38" s="32"/>
      <c r="AF38" s="32"/>
      <c r="AG38" s="32"/>
    </row>
    <row r="39" spans="1:33" s="18" customFormat="1" ht="64.150000000000006" customHeight="1" x14ac:dyDescent="0.25">
      <c r="A39" s="19">
        <v>14</v>
      </c>
      <c r="B39" s="20"/>
      <c r="C39" s="24"/>
      <c r="D39" s="19"/>
      <c r="E39" s="42"/>
      <c r="F39" s="19"/>
      <c r="G39" s="22"/>
      <c r="H39" s="22"/>
      <c r="I39" s="23"/>
      <c r="J39" s="23"/>
      <c r="K39" s="9"/>
      <c r="L39" s="23"/>
      <c r="M39" s="32"/>
      <c r="N39" s="32"/>
      <c r="O39" s="32"/>
      <c r="P39" s="32"/>
      <c r="Q39" s="32"/>
      <c r="R39" s="33"/>
      <c r="S39" s="55"/>
      <c r="T39" s="139"/>
      <c r="U39" s="33"/>
      <c r="V39" s="147"/>
      <c r="W39" s="32"/>
      <c r="X39" s="32"/>
      <c r="Y39" s="32"/>
      <c r="Z39" s="32"/>
      <c r="AA39" s="32"/>
      <c r="AB39" s="32"/>
      <c r="AC39" s="32"/>
      <c r="AD39" s="32"/>
      <c r="AE39" s="32"/>
      <c r="AF39" s="32"/>
      <c r="AG39" s="32"/>
    </row>
    <row r="40" spans="1:33" s="18" customFormat="1" ht="64.150000000000006" customHeight="1" x14ac:dyDescent="0.25">
      <c r="A40" s="19">
        <v>15</v>
      </c>
      <c r="B40" s="42"/>
      <c r="C40" s="24"/>
      <c r="D40" s="19"/>
      <c r="E40" s="42"/>
      <c r="F40" s="19"/>
      <c r="G40" s="22"/>
      <c r="H40" s="22"/>
      <c r="I40" s="23"/>
      <c r="J40" s="23"/>
      <c r="K40" s="9"/>
      <c r="L40" s="23"/>
      <c r="M40" s="32"/>
      <c r="N40" s="32"/>
      <c r="O40" s="32"/>
      <c r="P40" s="32"/>
      <c r="Q40" s="32"/>
      <c r="R40" s="33"/>
      <c r="S40" s="157"/>
      <c r="T40" s="139"/>
      <c r="U40" s="33"/>
      <c r="V40" s="147"/>
      <c r="W40" s="32"/>
      <c r="X40" s="32"/>
      <c r="Y40" s="32"/>
      <c r="Z40" s="32"/>
      <c r="AA40" s="32"/>
      <c r="AB40" s="32"/>
      <c r="AC40" s="32"/>
      <c r="AD40" s="32"/>
      <c r="AE40" s="32"/>
      <c r="AF40" s="32"/>
      <c r="AG40" s="32"/>
    </row>
    <row r="41" spans="1:33" s="53" customFormat="1" ht="24" customHeight="1" x14ac:dyDescent="0.25">
      <c r="A41" s="10" t="s">
        <v>297</v>
      </c>
      <c r="B41" s="11" t="s">
        <v>298</v>
      </c>
      <c r="C41" s="12"/>
      <c r="D41" s="13"/>
      <c r="E41" s="14"/>
      <c r="F41" s="13"/>
      <c r="G41" s="15"/>
      <c r="H41" s="15"/>
      <c r="I41" s="16"/>
      <c r="J41" s="16"/>
      <c r="K41" s="12"/>
      <c r="L41" s="16"/>
      <c r="M41" s="13"/>
      <c r="N41" s="39"/>
      <c r="O41" s="39"/>
      <c r="P41" s="39"/>
      <c r="Q41" s="39"/>
      <c r="R41" s="40"/>
      <c r="S41" s="158"/>
      <c r="T41" s="141"/>
      <c r="U41" s="40"/>
      <c r="V41" s="145"/>
      <c r="W41" s="39"/>
      <c r="X41" s="39"/>
      <c r="Y41" s="39"/>
      <c r="Z41" s="39"/>
      <c r="AA41" s="39"/>
      <c r="AB41" s="39"/>
      <c r="AC41" s="39"/>
      <c r="AD41" s="39"/>
      <c r="AE41" s="39"/>
      <c r="AF41" s="39"/>
      <c r="AG41" s="39"/>
    </row>
    <row r="42" spans="1:33" s="18" customFormat="1" ht="24" customHeight="1" x14ac:dyDescent="0.25">
      <c r="A42" s="19">
        <v>1</v>
      </c>
      <c r="B42" s="20"/>
      <c r="C42" s="9"/>
      <c r="D42" s="19"/>
      <c r="E42" s="42"/>
      <c r="F42" s="19"/>
      <c r="G42" s="22"/>
      <c r="H42" s="22"/>
      <c r="I42" s="23"/>
      <c r="J42" s="23"/>
      <c r="K42" s="9"/>
      <c r="L42" s="23"/>
      <c r="M42" s="19"/>
      <c r="N42" s="32"/>
      <c r="O42" s="32"/>
      <c r="P42" s="32"/>
      <c r="Q42" s="32"/>
      <c r="R42" s="33"/>
      <c r="S42" s="55"/>
      <c r="T42" s="139"/>
      <c r="U42" s="33"/>
      <c r="V42" s="147"/>
      <c r="W42" s="32"/>
      <c r="X42" s="32"/>
      <c r="Y42" s="32"/>
      <c r="Z42" s="32"/>
      <c r="AA42" s="32"/>
      <c r="AB42" s="32"/>
      <c r="AC42" s="32"/>
      <c r="AD42" s="32"/>
      <c r="AE42" s="32"/>
      <c r="AF42" s="32"/>
      <c r="AG42" s="32"/>
    </row>
    <row r="43" spans="1:33" s="18" customFormat="1" ht="24" customHeight="1" x14ac:dyDescent="0.25">
      <c r="A43" s="19">
        <v>2</v>
      </c>
      <c r="B43" s="20"/>
      <c r="C43" s="24"/>
      <c r="D43" s="19"/>
      <c r="E43" s="42"/>
      <c r="F43" s="19"/>
      <c r="G43" s="22"/>
      <c r="H43" s="22"/>
      <c r="I43" s="23"/>
      <c r="J43" s="23"/>
      <c r="K43" s="9"/>
      <c r="L43" s="23"/>
      <c r="M43" s="19"/>
      <c r="N43" s="35"/>
      <c r="O43" s="35"/>
      <c r="P43" s="35"/>
      <c r="Q43" s="35"/>
      <c r="R43" s="33"/>
      <c r="S43" s="157"/>
      <c r="T43" s="139"/>
      <c r="U43" s="33"/>
      <c r="V43" s="147"/>
      <c r="W43" s="32"/>
      <c r="X43" s="32"/>
      <c r="Y43" s="32"/>
      <c r="Z43" s="32"/>
      <c r="AA43" s="32"/>
      <c r="AB43" s="32"/>
      <c r="AC43" s="32"/>
      <c r="AD43" s="32"/>
      <c r="AE43" s="32"/>
      <c r="AF43" s="32"/>
      <c r="AG43" s="32"/>
    </row>
    <row r="44" spans="1:33" s="18" customFormat="1" ht="24" customHeight="1" x14ac:dyDescent="0.25">
      <c r="A44" s="19">
        <v>3</v>
      </c>
      <c r="B44" s="20"/>
      <c r="C44" s="24"/>
      <c r="D44" s="19"/>
      <c r="E44" s="42"/>
      <c r="F44" s="19"/>
      <c r="G44" s="22"/>
      <c r="H44" s="22"/>
      <c r="I44" s="23"/>
      <c r="J44" s="23"/>
      <c r="K44" s="9"/>
      <c r="L44" s="23"/>
      <c r="M44" s="19"/>
      <c r="N44" s="35"/>
      <c r="O44" s="35"/>
      <c r="P44" s="35"/>
      <c r="Q44" s="35"/>
      <c r="R44" s="33"/>
      <c r="S44" s="157"/>
      <c r="T44" s="139"/>
      <c r="U44" s="33"/>
      <c r="V44" s="147"/>
      <c r="W44" s="32"/>
      <c r="X44" s="32"/>
      <c r="Y44" s="32"/>
      <c r="Z44" s="32"/>
      <c r="AA44" s="32"/>
      <c r="AB44" s="32"/>
      <c r="AC44" s="32"/>
      <c r="AD44" s="32"/>
      <c r="AE44" s="32"/>
      <c r="AF44" s="32"/>
      <c r="AG44" s="32"/>
    </row>
    <row r="45" spans="1:33" s="18" customFormat="1" ht="24" customHeight="1" x14ac:dyDescent="0.25">
      <c r="A45" s="19">
        <v>4</v>
      </c>
      <c r="B45" s="20"/>
      <c r="C45" s="24"/>
      <c r="D45" s="19"/>
      <c r="E45" s="42"/>
      <c r="F45" s="19"/>
      <c r="G45" s="22"/>
      <c r="H45" s="22"/>
      <c r="I45" s="23"/>
      <c r="J45" s="23"/>
      <c r="K45" s="9"/>
      <c r="L45" s="23"/>
      <c r="M45" s="19"/>
      <c r="N45" s="35"/>
      <c r="O45" s="35"/>
      <c r="P45" s="35"/>
      <c r="Q45" s="35"/>
      <c r="R45" s="33"/>
      <c r="S45" s="157"/>
      <c r="T45" s="139"/>
      <c r="U45" s="33"/>
      <c r="V45" s="147"/>
      <c r="W45" s="32"/>
      <c r="X45" s="32"/>
      <c r="Y45" s="32"/>
      <c r="Z45" s="32"/>
      <c r="AA45" s="32"/>
      <c r="AB45" s="32"/>
      <c r="AC45" s="32"/>
      <c r="AD45" s="32"/>
      <c r="AE45" s="32"/>
      <c r="AF45" s="32"/>
      <c r="AG45" s="32"/>
    </row>
    <row r="46" spans="1:33" s="18" customFormat="1" ht="24" customHeight="1" x14ac:dyDescent="0.25">
      <c r="A46" s="19">
        <v>5</v>
      </c>
      <c r="B46" s="20"/>
      <c r="C46" s="24"/>
      <c r="D46" s="19"/>
      <c r="E46" s="42"/>
      <c r="F46" s="19"/>
      <c r="G46" s="22"/>
      <c r="H46" s="22"/>
      <c r="I46" s="23"/>
      <c r="J46" s="23"/>
      <c r="K46" s="9"/>
      <c r="L46" s="23"/>
      <c r="M46" s="19"/>
      <c r="N46" s="35"/>
      <c r="O46" s="35"/>
      <c r="P46" s="35"/>
      <c r="Q46" s="35"/>
      <c r="R46" s="33"/>
      <c r="S46" s="157"/>
      <c r="T46" s="139"/>
      <c r="U46" s="33"/>
      <c r="V46" s="147"/>
      <c r="W46" s="32"/>
      <c r="X46" s="32"/>
      <c r="Y46" s="32"/>
      <c r="Z46" s="32"/>
      <c r="AA46" s="32"/>
      <c r="AB46" s="32"/>
      <c r="AC46" s="32"/>
      <c r="AD46" s="32"/>
      <c r="AE46" s="32"/>
      <c r="AF46" s="32"/>
      <c r="AG46" s="32"/>
    </row>
    <row r="47" spans="1:33" s="18" customFormat="1" ht="24" customHeight="1" x14ac:dyDescent="0.25">
      <c r="A47" s="19">
        <v>6</v>
      </c>
      <c r="B47" s="20"/>
      <c r="C47" s="24"/>
      <c r="D47" s="19"/>
      <c r="E47" s="42"/>
      <c r="F47" s="19"/>
      <c r="G47" s="22"/>
      <c r="H47" s="22"/>
      <c r="I47" s="23"/>
      <c r="J47" s="23"/>
      <c r="K47" s="9"/>
      <c r="L47" s="23"/>
      <c r="M47" s="19"/>
      <c r="N47" s="35"/>
      <c r="O47" s="35"/>
      <c r="P47" s="35"/>
      <c r="Q47" s="35"/>
      <c r="R47" s="33"/>
      <c r="S47" s="157"/>
      <c r="T47" s="139"/>
      <c r="U47" s="33"/>
      <c r="V47" s="147"/>
      <c r="W47" s="32"/>
      <c r="X47" s="32"/>
      <c r="Y47" s="32"/>
      <c r="Z47" s="32"/>
      <c r="AA47" s="32"/>
      <c r="AB47" s="32"/>
      <c r="AC47" s="32"/>
      <c r="AD47" s="32"/>
      <c r="AE47" s="32"/>
      <c r="AF47" s="32"/>
      <c r="AG47" s="32"/>
    </row>
    <row r="48" spans="1:33" s="18" customFormat="1" ht="24" customHeight="1" x14ac:dyDescent="0.25">
      <c r="A48" s="19">
        <v>7</v>
      </c>
      <c r="B48" s="20"/>
      <c r="C48" s="63"/>
      <c r="D48" s="19"/>
      <c r="E48" s="42"/>
      <c r="F48" s="19"/>
      <c r="G48" s="22"/>
      <c r="H48" s="22"/>
      <c r="I48" s="23"/>
      <c r="J48" s="23"/>
      <c r="K48" s="9"/>
      <c r="L48" s="23"/>
      <c r="M48" s="19"/>
      <c r="N48" s="35"/>
      <c r="O48" s="35"/>
      <c r="P48" s="35"/>
      <c r="Q48" s="35"/>
      <c r="R48" s="33"/>
      <c r="S48" s="157"/>
      <c r="T48" s="139"/>
      <c r="U48" s="33"/>
      <c r="V48" s="147"/>
      <c r="W48" s="32"/>
      <c r="X48" s="32"/>
      <c r="Y48" s="32"/>
      <c r="Z48" s="32"/>
      <c r="AA48" s="32"/>
      <c r="AB48" s="32"/>
      <c r="AC48" s="32"/>
      <c r="AD48" s="32"/>
      <c r="AE48" s="32"/>
      <c r="AF48" s="32"/>
      <c r="AG48" s="32"/>
    </row>
    <row r="49" spans="1:33" s="18" customFormat="1" ht="24" customHeight="1" x14ac:dyDescent="0.25">
      <c r="A49" s="19">
        <v>8</v>
      </c>
      <c r="B49" s="20"/>
      <c r="C49" s="63"/>
      <c r="D49" s="19"/>
      <c r="E49" s="42"/>
      <c r="F49" s="19"/>
      <c r="G49" s="28"/>
      <c r="H49" s="22"/>
      <c r="I49" s="23"/>
      <c r="J49" s="23"/>
      <c r="K49" s="9"/>
      <c r="L49" s="23"/>
      <c r="M49" s="19"/>
      <c r="N49" s="35"/>
      <c r="O49" s="35"/>
      <c r="P49" s="35"/>
      <c r="Q49" s="35"/>
      <c r="R49" s="30"/>
      <c r="S49" s="157"/>
      <c r="T49" s="140"/>
      <c r="U49" s="33"/>
      <c r="V49" s="147"/>
      <c r="W49" s="32"/>
      <c r="X49" s="32"/>
      <c r="Y49" s="32"/>
      <c r="Z49" s="32"/>
      <c r="AA49" s="32"/>
      <c r="AB49" s="32"/>
      <c r="AC49" s="32"/>
      <c r="AD49" s="32"/>
      <c r="AE49" s="32"/>
      <c r="AF49" s="32"/>
      <c r="AG49" s="32"/>
    </row>
    <row r="50" spans="1:33" s="53" customFormat="1" ht="24" customHeight="1" x14ac:dyDescent="0.25">
      <c r="A50" s="10" t="s">
        <v>320</v>
      </c>
      <c r="B50" s="11" t="s">
        <v>323</v>
      </c>
      <c r="C50" s="12"/>
      <c r="D50" s="13"/>
      <c r="E50" s="14"/>
      <c r="F50" s="13"/>
      <c r="G50" s="15"/>
      <c r="H50" s="15"/>
      <c r="I50" s="16"/>
      <c r="J50" s="16"/>
      <c r="K50" s="12"/>
      <c r="L50" s="16"/>
      <c r="M50" s="13"/>
      <c r="N50" s="39"/>
      <c r="O50" s="39"/>
      <c r="P50" s="39"/>
      <c r="Q50" s="39"/>
      <c r="R50" s="40"/>
      <c r="S50" s="158"/>
      <c r="T50" s="141"/>
      <c r="U50" s="40"/>
      <c r="V50" s="145"/>
      <c r="W50" s="39"/>
      <c r="X50" s="39"/>
      <c r="Y50" s="39"/>
      <c r="Z50" s="39"/>
      <c r="AA50" s="39"/>
      <c r="AB50" s="39"/>
      <c r="AC50" s="39"/>
      <c r="AD50" s="39"/>
      <c r="AE50" s="39"/>
      <c r="AF50" s="39"/>
      <c r="AG50" s="39"/>
    </row>
    <row r="51" spans="1:33" s="18" customFormat="1" ht="24" customHeight="1" x14ac:dyDescent="0.25">
      <c r="A51" s="19">
        <v>1</v>
      </c>
      <c r="B51" s="20"/>
      <c r="C51" s="9"/>
      <c r="D51" s="19"/>
      <c r="E51" s="20"/>
      <c r="F51" s="19"/>
      <c r="G51" s="22"/>
      <c r="H51" s="22"/>
      <c r="I51" s="23"/>
      <c r="J51" s="23"/>
      <c r="K51" s="9"/>
      <c r="L51" s="23"/>
      <c r="M51" s="19"/>
      <c r="N51" s="32"/>
      <c r="O51" s="35"/>
      <c r="P51" s="32"/>
      <c r="Q51" s="32"/>
      <c r="R51" s="33"/>
      <c r="S51" s="55"/>
      <c r="T51" s="139"/>
      <c r="U51" s="33"/>
      <c r="V51" s="147"/>
      <c r="W51" s="32"/>
      <c r="X51" s="32"/>
      <c r="Y51" s="32"/>
      <c r="Z51" s="32"/>
      <c r="AA51" s="32"/>
      <c r="AB51" s="32"/>
      <c r="AC51" s="32"/>
      <c r="AD51" s="32"/>
      <c r="AE51" s="32"/>
      <c r="AF51" s="32"/>
      <c r="AG51" s="32"/>
    </row>
    <row r="52" spans="1:33" s="18" customFormat="1" ht="24" customHeight="1" x14ac:dyDescent="0.25">
      <c r="A52" s="19">
        <v>2</v>
      </c>
      <c r="B52" s="20"/>
      <c r="C52" s="9"/>
      <c r="D52" s="19"/>
      <c r="E52" s="20"/>
      <c r="F52" s="19"/>
      <c r="G52" s="22"/>
      <c r="H52" s="22"/>
      <c r="I52" s="23"/>
      <c r="J52" s="23"/>
      <c r="K52" s="9"/>
      <c r="L52" s="23"/>
      <c r="M52" s="19"/>
      <c r="N52" s="32"/>
      <c r="O52" s="32"/>
      <c r="P52" s="32"/>
      <c r="Q52" s="32"/>
      <c r="R52" s="33"/>
      <c r="S52" s="55"/>
      <c r="T52" s="139"/>
      <c r="U52" s="33"/>
      <c r="V52" s="147"/>
      <c r="W52" s="32"/>
      <c r="X52" s="32"/>
      <c r="Y52" s="32"/>
      <c r="Z52" s="32"/>
      <c r="AA52" s="32"/>
      <c r="AB52" s="32"/>
      <c r="AC52" s="32"/>
      <c r="AD52" s="32"/>
      <c r="AE52" s="32"/>
      <c r="AF52" s="32"/>
      <c r="AG52" s="32"/>
    </row>
    <row r="53" spans="1:33" s="18" customFormat="1" ht="24" customHeight="1" x14ac:dyDescent="0.25">
      <c r="A53" s="19">
        <v>3</v>
      </c>
      <c r="B53" s="20"/>
      <c r="C53" s="9"/>
      <c r="D53" s="19"/>
      <c r="E53" s="42"/>
      <c r="F53" s="19"/>
      <c r="G53" s="22"/>
      <c r="H53" s="22"/>
      <c r="I53" s="23"/>
      <c r="J53" s="23"/>
      <c r="K53" s="9"/>
      <c r="L53" s="23"/>
      <c r="M53" s="19"/>
      <c r="N53" s="32"/>
      <c r="O53" s="32"/>
      <c r="P53" s="32"/>
      <c r="Q53" s="32"/>
      <c r="R53" s="33"/>
      <c r="S53" s="55"/>
      <c r="T53" s="139"/>
      <c r="U53" s="33"/>
      <c r="V53" s="147"/>
      <c r="W53" s="32"/>
      <c r="X53" s="32"/>
      <c r="Y53" s="32"/>
      <c r="Z53" s="32"/>
      <c r="AA53" s="32"/>
      <c r="AB53" s="32"/>
      <c r="AC53" s="32"/>
      <c r="AD53" s="32"/>
      <c r="AE53" s="32"/>
      <c r="AF53" s="32"/>
      <c r="AG53" s="32"/>
    </row>
    <row r="54" spans="1:33" s="18" customFormat="1" ht="24" customHeight="1" x14ac:dyDescent="0.25">
      <c r="A54" s="19">
        <v>4</v>
      </c>
      <c r="B54" s="20"/>
      <c r="C54" s="9"/>
      <c r="D54" s="19"/>
      <c r="E54" s="42"/>
      <c r="F54" s="19"/>
      <c r="G54" s="22"/>
      <c r="H54" s="22"/>
      <c r="I54" s="23"/>
      <c r="J54" s="23"/>
      <c r="K54" s="9"/>
      <c r="L54" s="23"/>
      <c r="M54" s="19"/>
      <c r="N54" s="32"/>
      <c r="O54" s="32"/>
      <c r="P54" s="32"/>
      <c r="Q54" s="32"/>
      <c r="R54" s="33"/>
      <c r="S54" s="55"/>
      <c r="T54" s="139"/>
      <c r="U54" s="33"/>
      <c r="V54" s="147"/>
      <c r="W54" s="32"/>
      <c r="X54" s="32"/>
      <c r="Y54" s="32"/>
      <c r="Z54" s="32"/>
      <c r="AA54" s="32"/>
      <c r="AB54" s="32"/>
      <c r="AC54" s="32"/>
      <c r="AD54" s="32"/>
      <c r="AE54" s="32"/>
      <c r="AF54" s="32"/>
      <c r="AG54" s="32"/>
    </row>
    <row r="55" spans="1:33" s="18" customFormat="1" ht="24" customHeight="1" x14ac:dyDescent="0.25">
      <c r="A55" s="19">
        <v>5</v>
      </c>
      <c r="B55" s="20"/>
      <c r="C55" s="24"/>
      <c r="D55" s="19"/>
      <c r="E55" s="42"/>
      <c r="F55" s="19"/>
      <c r="G55" s="22"/>
      <c r="H55" s="22"/>
      <c r="I55" s="23"/>
      <c r="J55" s="23"/>
      <c r="K55" s="9"/>
      <c r="L55" s="23"/>
      <c r="M55" s="19"/>
      <c r="N55" s="32"/>
      <c r="O55" s="32"/>
      <c r="P55" s="32"/>
      <c r="Q55" s="32"/>
      <c r="R55" s="33"/>
      <c r="S55" s="55"/>
      <c r="T55" s="139"/>
      <c r="U55" s="33"/>
      <c r="V55" s="147"/>
      <c r="W55" s="32"/>
      <c r="X55" s="32"/>
      <c r="Y55" s="32"/>
      <c r="Z55" s="32"/>
      <c r="AA55" s="32"/>
      <c r="AB55" s="32"/>
      <c r="AC55" s="32"/>
      <c r="AD55" s="32"/>
      <c r="AE55" s="32"/>
      <c r="AF55" s="32"/>
      <c r="AG55" s="32"/>
    </row>
    <row r="56" spans="1:33" s="53" customFormat="1" ht="24" customHeight="1" x14ac:dyDescent="0.25">
      <c r="A56" s="10" t="s">
        <v>336</v>
      </c>
      <c r="B56" s="11" t="s">
        <v>337</v>
      </c>
      <c r="C56" s="12"/>
      <c r="D56" s="13"/>
      <c r="E56" s="14"/>
      <c r="F56" s="13"/>
      <c r="G56" s="15"/>
      <c r="H56" s="15"/>
      <c r="I56" s="16"/>
      <c r="J56" s="16"/>
      <c r="K56" s="12"/>
      <c r="L56" s="16"/>
      <c r="M56" s="13"/>
      <c r="N56" s="39"/>
      <c r="O56" s="39"/>
      <c r="P56" s="39"/>
      <c r="Q56" s="39"/>
      <c r="R56" s="40"/>
      <c r="S56" s="158"/>
      <c r="T56" s="141"/>
      <c r="U56" s="40"/>
      <c r="V56" s="145"/>
      <c r="W56" s="39"/>
      <c r="X56" s="39"/>
      <c r="Y56" s="39"/>
      <c r="Z56" s="39"/>
      <c r="AA56" s="39"/>
      <c r="AB56" s="39"/>
      <c r="AC56" s="39"/>
      <c r="AD56" s="39"/>
      <c r="AE56" s="39"/>
      <c r="AF56" s="39"/>
      <c r="AG56" s="39"/>
    </row>
    <row r="57" spans="1:33" s="18" customFormat="1" ht="63.6" customHeight="1" x14ac:dyDescent="0.25">
      <c r="A57" s="19">
        <v>1</v>
      </c>
      <c r="B57" s="20"/>
      <c r="C57" s="9"/>
      <c r="D57" s="19"/>
      <c r="E57" s="42"/>
      <c r="F57" s="19"/>
      <c r="G57" s="22"/>
      <c r="H57" s="22"/>
      <c r="I57" s="23"/>
      <c r="J57" s="23"/>
      <c r="K57" s="9"/>
      <c r="L57" s="23"/>
      <c r="M57" s="19"/>
      <c r="N57" s="32"/>
      <c r="O57" s="32"/>
      <c r="P57" s="32"/>
      <c r="Q57" s="32"/>
      <c r="R57" s="33"/>
      <c r="S57" s="55"/>
      <c r="T57" s="139"/>
      <c r="U57" s="33"/>
      <c r="V57" s="147"/>
      <c r="W57" s="32"/>
      <c r="X57" s="32"/>
      <c r="Y57" s="32"/>
      <c r="Z57" s="32"/>
      <c r="AA57" s="32"/>
      <c r="AB57" s="32"/>
      <c r="AC57" s="32"/>
      <c r="AD57" s="32"/>
      <c r="AE57" s="32"/>
      <c r="AF57" s="32"/>
      <c r="AG57" s="32"/>
    </row>
    <row r="58" spans="1:33" s="18" customFormat="1" ht="63" customHeight="1" x14ac:dyDescent="0.25">
      <c r="A58" s="19">
        <v>2</v>
      </c>
      <c r="B58" s="20"/>
      <c r="C58" s="9"/>
      <c r="D58" s="19"/>
      <c r="E58" s="42"/>
      <c r="F58" s="19"/>
      <c r="G58" s="22"/>
      <c r="H58" s="22"/>
      <c r="I58" s="23"/>
      <c r="J58" s="23"/>
      <c r="K58" s="9"/>
      <c r="L58" s="23"/>
      <c r="M58" s="19"/>
      <c r="N58" s="32"/>
      <c r="O58" s="32"/>
      <c r="P58" s="32"/>
      <c r="Q58" s="32"/>
      <c r="R58" s="33"/>
      <c r="S58" s="55"/>
      <c r="T58" s="139"/>
      <c r="U58" s="33"/>
      <c r="V58" s="147"/>
      <c r="W58" s="32"/>
      <c r="X58" s="32"/>
      <c r="Y58" s="32"/>
      <c r="Z58" s="32"/>
      <c r="AA58" s="32"/>
      <c r="AB58" s="32"/>
      <c r="AC58" s="32"/>
      <c r="AD58" s="32"/>
      <c r="AE58" s="32"/>
      <c r="AF58" s="32"/>
      <c r="AG58" s="32"/>
    </row>
    <row r="59" spans="1:33" s="18" customFormat="1" ht="24" customHeight="1" x14ac:dyDescent="0.25">
      <c r="A59" s="19">
        <v>3</v>
      </c>
      <c r="B59" s="20"/>
      <c r="C59" s="9"/>
      <c r="D59" s="19"/>
      <c r="E59" s="42"/>
      <c r="F59" s="19"/>
      <c r="G59" s="22"/>
      <c r="H59" s="22"/>
      <c r="I59" s="23"/>
      <c r="J59" s="23"/>
      <c r="K59" s="9"/>
      <c r="L59" s="23"/>
      <c r="M59" s="19"/>
      <c r="N59" s="32"/>
      <c r="O59" s="32"/>
      <c r="P59" s="32"/>
      <c r="Q59" s="35"/>
      <c r="R59" s="33"/>
      <c r="S59" s="55"/>
      <c r="T59" s="140"/>
      <c r="U59" s="33"/>
      <c r="V59" s="147"/>
      <c r="W59" s="32"/>
      <c r="X59" s="32"/>
      <c r="Y59" s="32"/>
      <c r="Z59" s="32"/>
      <c r="AA59" s="32"/>
      <c r="AB59" s="32"/>
      <c r="AC59" s="32"/>
      <c r="AD59" s="32"/>
      <c r="AE59" s="32"/>
      <c r="AF59" s="32"/>
      <c r="AG59" s="32"/>
    </row>
    <row r="60" spans="1:33" s="18" customFormat="1" ht="24" customHeight="1" x14ac:dyDescent="0.25">
      <c r="A60" s="19">
        <v>4</v>
      </c>
      <c r="B60" s="20"/>
      <c r="C60" s="9"/>
      <c r="D60" s="19"/>
      <c r="E60" s="42"/>
      <c r="F60" s="19"/>
      <c r="G60" s="22"/>
      <c r="H60" s="22"/>
      <c r="I60" s="23"/>
      <c r="J60" s="23"/>
      <c r="K60" s="9"/>
      <c r="L60" s="23"/>
      <c r="M60" s="19"/>
      <c r="N60" s="32"/>
      <c r="O60" s="32"/>
      <c r="P60" s="32"/>
      <c r="Q60" s="35"/>
      <c r="R60" s="33"/>
      <c r="S60" s="55"/>
      <c r="T60" s="140"/>
      <c r="U60" s="33"/>
      <c r="V60" s="147"/>
      <c r="W60" s="32"/>
      <c r="X60" s="32"/>
      <c r="Y60" s="32"/>
      <c r="Z60" s="32"/>
      <c r="AA60" s="32"/>
      <c r="AB60" s="32"/>
      <c r="AC60" s="32"/>
      <c r="AD60" s="32"/>
      <c r="AE60" s="32"/>
      <c r="AF60" s="32"/>
      <c r="AG60" s="32"/>
    </row>
    <row r="61" spans="1:33" s="18" customFormat="1" ht="129" customHeight="1" x14ac:dyDescent="0.25">
      <c r="A61" s="19">
        <v>5</v>
      </c>
      <c r="B61" s="20"/>
      <c r="C61" s="9"/>
      <c r="D61" s="19"/>
      <c r="E61" s="42"/>
      <c r="F61" s="19"/>
      <c r="G61" s="22"/>
      <c r="H61" s="22"/>
      <c r="I61" s="23"/>
      <c r="J61" s="23"/>
      <c r="K61" s="9"/>
      <c r="L61" s="23"/>
      <c r="M61" s="19"/>
      <c r="N61" s="32"/>
      <c r="O61" s="32"/>
      <c r="P61" s="32"/>
      <c r="Q61" s="35"/>
      <c r="R61" s="33"/>
      <c r="S61" s="55"/>
      <c r="T61" s="140"/>
      <c r="U61" s="33"/>
      <c r="V61" s="147"/>
      <c r="W61" s="32"/>
      <c r="X61" s="32"/>
      <c r="Y61" s="32"/>
      <c r="Z61" s="32"/>
      <c r="AA61" s="32"/>
      <c r="AB61" s="32"/>
      <c r="AC61" s="32"/>
      <c r="AD61" s="32"/>
      <c r="AE61" s="32"/>
      <c r="AF61" s="32"/>
      <c r="AG61" s="32"/>
    </row>
    <row r="62" spans="1:33" s="18" customFormat="1" ht="129" customHeight="1" x14ac:dyDescent="0.25">
      <c r="A62" s="19">
        <v>6</v>
      </c>
      <c r="B62" s="20"/>
      <c r="C62" s="9"/>
      <c r="D62" s="19"/>
      <c r="E62" s="42"/>
      <c r="F62" s="19"/>
      <c r="G62" s="22"/>
      <c r="H62" s="22"/>
      <c r="I62" s="23"/>
      <c r="J62" s="23"/>
      <c r="K62" s="9"/>
      <c r="L62" s="23"/>
      <c r="M62" s="19"/>
      <c r="N62" s="32"/>
      <c r="O62" s="32"/>
      <c r="P62" s="32"/>
      <c r="Q62" s="35"/>
      <c r="R62" s="33"/>
      <c r="S62" s="55"/>
      <c r="T62" s="140"/>
      <c r="U62" s="33"/>
      <c r="V62" s="147"/>
      <c r="W62" s="32"/>
      <c r="X62" s="32"/>
      <c r="Y62" s="32"/>
      <c r="Z62" s="32"/>
      <c r="AA62" s="32"/>
      <c r="AB62" s="32"/>
      <c r="AC62" s="32"/>
      <c r="AD62" s="32"/>
      <c r="AE62" s="32"/>
      <c r="AF62" s="32"/>
      <c r="AG62" s="32"/>
    </row>
    <row r="63" spans="1:33" s="18" customFormat="1" ht="129" customHeight="1" x14ac:dyDescent="0.25">
      <c r="A63" s="19">
        <v>7</v>
      </c>
      <c r="B63" s="20"/>
      <c r="C63" s="9"/>
      <c r="D63" s="19"/>
      <c r="E63" s="42"/>
      <c r="F63" s="19"/>
      <c r="G63" s="22"/>
      <c r="H63" s="22"/>
      <c r="I63" s="23"/>
      <c r="J63" s="23"/>
      <c r="K63" s="9"/>
      <c r="L63" s="23"/>
      <c r="M63" s="19"/>
      <c r="N63" s="32"/>
      <c r="O63" s="32"/>
      <c r="P63" s="32"/>
      <c r="Q63" s="35"/>
      <c r="R63" s="33"/>
      <c r="S63" s="55"/>
      <c r="T63" s="140"/>
      <c r="U63" s="33"/>
      <c r="V63" s="147"/>
      <c r="W63" s="32"/>
      <c r="X63" s="32"/>
      <c r="Y63" s="32"/>
      <c r="Z63" s="32"/>
      <c r="AA63" s="32"/>
      <c r="AB63" s="32"/>
      <c r="AC63" s="32"/>
      <c r="AD63" s="32"/>
      <c r="AE63" s="32"/>
      <c r="AF63" s="32"/>
      <c r="AG63" s="32"/>
    </row>
    <row r="64" spans="1:33" s="18" customFormat="1" ht="129" customHeight="1" x14ac:dyDescent="0.25">
      <c r="A64" s="19">
        <v>8</v>
      </c>
      <c r="B64" s="20"/>
      <c r="C64" s="9"/>
      <c r="D64" s="19"/>
      <c r="E64" s="42"/>
      <c r="F64" s="19"/>
      <c r="G64" s="22"/>
      <c r="H64" s="22"/>
      <c r="I64" s="23"/>
      <c r="J64" s="23"/>
      <c r="K64" s="9"/>
      <c r="L64" s="23"/>
      <c r="M64" s="19"/>
      <c r="N64" s="32"/>
      <c r="O64" s="32"/>
      <c r="P64" s="32"/>
      <c r="Q64" s="35"/>
      <c r="R64" s="33"/>
      <c r="S64" s="55"/>
      <c r="T64" s="140"/>
      <c r="U64" s="33"/>
      <c r="V64" s="147"/>
      <c r="W64" s="32"/>
      <c r="X64" s="32"/>
      <c r="Y64" s="32"/>
      <c r="Z64" s="32"/>
      <c r="AA64" s="32"/>
      <c r="AB64" s="32"/>
      <c r="AC64" s="32"/>
      <c r="AD64" s="32"/>
      <c r="AE64" s="32"/>
      <c r="AF64" s="32"/>
      <c r="AG64" s="32"/>
    </row>
    <row r="65" spans="1:33" s="18" customFormat="1" ht="129" customHeight="1" x14ac:dyDescent="0.25">
      <c r="A65" s="19">
        <v>9</v>
      </c>
      <c r="B65" s="20"/>
      <c r="C65" s="9"/>
      <c r="D65" s="19"/>
      <c r="E65" s="42"/>
      <c r="F65" s="19"/>
      <c r="G65" s="22"/>
      <c r="H65" s="22"/>
      <c r="I65" s="23"/>
      <c r="J65" s="23"/>
      <c r="K65" s="9"/>
      <c r="L65" s="23"/>
      <c r="M65" s="19"/>
      <c r="N65" s="32"/>
      <c r="O65" s="32"/>
      <c r="P65" s="32"/>
      <c r="Q65" s="35"/>
      <c r="R65" s="33"/>
      <c r="S65" s="55"/>
      <c r="T65" s="140"/>
      <c r="U65" s="33"/>
      <c r="V65" s="147"/>
      <c r="W65" s="32"/>
      <c r="X65" s="32"/>
      <c r="Y65" s="32"/>
      <c r="Z65" s="32"/>
      <c r="AA65" s="32"/>
      <c r="AB65" s="32"/>
      <c r="AC65" s="32"/>
      <c r="AD65" s="32"/>
      <c r="AE65" s="32"/>
      <c r="AF65" s="32"/>
      <c r="AG65" s="32"/>
    </row>
    <row r="66" spans="1:33" s="18" customFormat="1" ht="40.9" customHeight="1" x14ac:dyDescent="0.25">
      <c r="A66" s="19">
        <v>10</v>
      </c>
      <c r="B66" s="20"/>
      <c r="C66" s="9"/>
      <c r="D66" s="19"/>
      <c r="E66" s="42"/>
      <c r="F66" s="19"/>
      <c r="G66" s="22"/>
      <c r="H66" s="22"/>
      <c r="I66" s="23"/>
      <c r="J66" s="23"/>
      <c r="K66" s="9"/>
      <c r="L66" s="23"/>
      <c r="M66" s="19"/>
      <c r="N66" s="32"/>
      <c r="O66" s="32"/>
      <c r="P66" s="32"/>
      <c r="Q66" s="35"/>
      <c r="R66" s="33"/>
      <c r="S66" s="55"/>
      <c r="T66" s="140"/>
      <c r="U66" s="33"/>
      <c r="V66" s="147"/>
      <c r="W66" s="32"/>
      <c r="X66" s="32"/>
      <c r="Y66" s="32"/>
      <c r="Z66" s="32"/>
      <c r="AA66" s="32"/>
      <c r="AB66" s="32"/>
      <c r="AC66" s="32"/>
      <c r="AD66" s="32"/>
      <c r="AE66" s="32"/>
      <c r="AF66" s="32"/>
      <c r="AG66" s="32"/>
    </row>
    <row r="67" spans="1:33" s="18" customFormat="1" ht="40.9" customHeight="1" x14ac:dyDescent="0.25">
      <c r="A67" s="19">
        <v>11</v>
      </c>
      <c r="B67" s="20"/>
      <c r="C67" s="9"/>
      <c r="D67" s="19"/>
      <c r="E67" s="42"/>
      <c r="F67" s="19"/>
      <c r="G67" s="22"/>
      <c r="H67" s="22"/>
      <c r="I67" s="23"/>
      <c r="J67" s="23"/>
      <c r="K67" s="9"/>
      <c r="L67" s="23"/>
      <c r="M67" s="19"/>
      <c r="N67" s="32"/>
      <c r="O67" s="32"/>
      <c r="P67" s="32"/>
      <c r="Q67" s="35"/>
      <c r="R67" s="33"/>
      <c r="S67" s="55"/>
      <c r="T67" s="140"/>
      <c r="U67" s="33"/>
      <c r="V67" s="147"/>
      <c r="W67" s="32"/>
      <c r="X67" s="32"/>
      <c r="Y67" s="32"/>
      <c r="Z67" s="32"/>
      <c r="AA67" s="32"/>
      <c r="AB67" s="32"/>
      <c r="AC67" s="32"/>
      <c r="AD67" s="32"/>
      <c r="AE67" s="32"/>
      <c r="AF67" s="32"/>
      <c r="AG67" s="32"/>
    </row>
    <row r="68" spans="1:33" s="18" customFormat="1" ht="40.9" customHeight="1" x14ac:dyDescent="0.25">
      <c r="A68" s="19">
        <v>12</v>
      </c>
      <c r="B68" s="20"/>
      <c r="C68" s="9"/>
      <c r="D68" s="19"/>
      <c r="E68" s="42"/>
      <c r="F68" s="19"/>
      <c r="G68" s="22"/>
      <c r="H68" s="22"/>
      <c r="I68" s="23"/>
      <c r="J68" s="23"/>
      <c r="K68" s="9"/>
      <c r="L68" s="23"/>
      <c r="M68" s="19"/>
      <c r="N68" s="32"/>
      <c r="O68" s="32"/>
      <c r="P68" s="32"/>
      <c r="Q68" s="35"/>
      <c r="R68" s="33"/>
      <c r="S68" s="55"/>
      <c r="T68" s="140"/>
      <c r="U68" s="33"/>
      <c r="V68" s="147"/>
      <c r="W68" s="32"/>
      <c r="X68" s="32"/>
      <c r="Y68" s="32"/>
      <c r="Z68" s="32"/>
      <c r="AA68" s="32"/>
      <c r="AB68" s="32"/>
      <c r="AC68" s="32"/>
      <c r="AD68" s="32"/>
      <c r="AE68" s="32"/>
      <c r="AF68" s="32"/>
      <c r="AG68" s="32"/>
    </row>
    <row r="69" spans="1:33" s="18" customFormat="1" ht="40.9" customHeight="1" x14ac:dyDescent="0.25">
      <c r="A69" s="19">
        <v>13</v>
      </c>
      <c r="B69" s="20"/>
      <c r="C69" s="9"/>
      <c r="D69" s="19"/>
      <c r="E69" s="42"/>
      <c r="F69" s="19"/>
      <c r="G69" s="22"/>
      <c r="H69" s="22"/>
      <c r="I69" s="23"/>
      <c r="J69" s="23"/>
      <c r="K69" s="9"/>
      <c r="L69" s="23"/>
      <c r="M69" s="19"/>
      <c r="N69" s="32"/>
      <c r="O69" s="32"/>
      <c r="P69" s="32"/>
      <c r="Q69" s="35"/>
      <c r="R69" s="33"/>
      <c r="S69" s="55"/>
      <c r="T69" s="140"/>
      <c r="U69" s="33"/>
      <c r="V69" s="147"/>
      <c r="W69" s="32"/>
      <c r="X69" s="32"/>
      <c r="Y69" s="32"/>
      <c r="Z69" s="32"/>
      <c r="AA69" s="32"/>
      <c r="AB69" s="32"/>
      <c r="AC69" s="32"/>
      <c r="AD69" s="32"/>
      <c r="AE69" s="32"/>
      <c r="AF69" s="32"/>
      <c r="AG69" s="32"/>
    </row>
    <row r="70" spans="1:33" s="18" customFormat="1" ht="40.9" customHeight="1" x14ac:dyDescent="0.25">
      <c r="A70" s="19">
        <v>14</v>
      </c>
      <c r="B70" s="20"/>
      <c r="C70" s="24"/>
      <c r="D70" s="19"/>
      <c r="E70" s="56"/>
      <c r="F70" s="19"/>
      <c r="G70" s="22"/>
      <c r="H70" s="22"/>
      <c r="I70" s="23"/>
      <c r="J70" s="23"/>
      <c r="K70" s="9"/>
      <c r="L70" s="23"/>
      <c r="M70" s="19"/>
      <c r="N70" s="32"/>
      <c r="O70" s="32"/>
      <c r="P70" s="32"/>
      <c r="Q70" s="32"/>
      <c r="R70" s="33"/>
      <c r="S70" s="55"/>
      <c r="T70" s="140"/>
      <c r="U70" s="33"/>
      <c r="V70" s="147"/>
      <c r="W70" s="32"/>
      <c r="X70" s="32"/>
      <c r="Y70" s="32"/>
      <c r="Z70" s="32"/>
      <c r="AA70" s="32"/>
      <c r="AB70" s="32"/>
      <c r="AC70" s="32"/>
      <c r="AD70" s="32"/>
      <c r="AE70" s="32"/>
      <c r="AF70" s="32"/>
      <c r="AG70" s="32"/>
    </row>
    <row r="71" spans="1:33" s="18" customFormat="1" ht="40.9" customHeight="1" x14ac:dyDescent="0.25">
      <c r="A71" s="19">
        <v>15</v>
      </c>
      <c r="B71" s="20"/>
      <c r="C71" s="24"/>
      <c r="D71" s="19"/>
      <c r="E71" s="56"/>
      <c r="F71" s="19"/>
      <c r="G71" s="22"/>
      <c r="H71" s="22"/>
      <c r="I71" s="23"/>
      <c r="J71" s="23"/>
      <c r="K71" s="9"/>
      <c r="L71" s="23"/>
      <c r="M71" s="19"/>
      <c r="N71" s="32"/>
      <c r="O71" s="32"/>
      <c r="P71" s="32"/>
      <c r="Q71" s="32"/>
      <c r="R71" s="33"/>
      <c r="S71" s="157"/>
      <c r="T71" s="140"/>
      <c r="U71" s="33"/>
      <c r="V71" s="147"/>
      <c r="W71" s="32"/>
      <c r="X71" s="32"/>
      <c r="Y71" s="32"/>
      <c r="Z71" s="32"/>
      <c r="AA71" s="32"/>
      <c r="AB71" s="32"/>
      <c r="AC71" s="32"/>
      <c r="AD71" s="32"/>
      <c r="AE71" s="32"/>
      <c r="AF71" s="32"/>
      <c r="AG71" s="32"/>
    </row>
    <row r="72" spans="1:33" s="18" customFormat="1" ht="40.9" customHeight="1" x14ac:dyDescent="0.25">
      <c r="A72" s="19">
        <v>16</v>
      </c>
      <c r="B72" s="20"/>
      <c r="C72" s="24"/>
      <c r="D72" s="19"/>
      <c r="E72" s="56"/>
      <c r="F72" s="19"/>
      <c r="G72" s="22"/>
      <c r="H72" s="22"/>
      <c r="I72" s="23"/>
      <c r="J72" s="23"/>
      <c r="K72" s="9"/>
      <c r="L72" s="23"/>
      <c r="M72" s="19"/>
      <c r="N72" s="32"/>
      <c r="O72" s="32"/>
      <c r="P72" s="32"/>
      <c r="Q72" s="32"/>
      <c r="R72" s="33"/>
      <c r="S72" s="157"/>
      <c r="T72" s="140"/>
      <c r="U72" s="33"/>
      <c r="V72" s="147"/>
      <c r="W72" s="32"/>
      <c r="X72" s="32"/>
      <c r="Y72" s="32"/>
      <c r="Z72" s="32"/>
      <c r="AA72" s="32"/>
      <c r="AB72" s="32"/>
      <c r="AC72" s="32"/>
      <c r="AD72" s="32"/>
      <c r="AE72" s="32"/>
      <c r="AF72" s="32"/>
      <c r="AG72" s="32"/>
    </row>
    <row r="73" spans="1:33" s="53" customFormat="1" ht="24" customHeight="1" x14ac:dyDescent="0.25">
      <c r="A73" s="10" t="s">
        <v>360</v>
      </c>
      <c r="B73" s="11" t="s">
        <v>361</v>
      </c>
      <c r="C73" s="12"/>
      <c r="D73" s="13"/>
      <c r="E73" s="14"/>
      <c r="F73" s="13"/>
      <c r="G73" s="15"/>
      <c r="H73" s="15"/>
      <c r="I73" s="16"/>
      <c r="J73" s="16"/>
      <c r="K73" s="12"/>
      <c r="L73" s="16"/>
      <c r="M73" s="13"/>
      <c r="N73" s="39"/>
      <c r="O73" s="39"/>
      <c r="P73" s="39"/>
      <c r="Q73" s="39"/>
      <c r="R73" s="40"/>
      <c r="S73" s="158"/>
      <c r="T73" s="141"/>
      <c r="U73" s="40"/>
      <c r="V73" s="145"/>
      <c r="W73" s="39"/>
      <c r="X73" s="39"/>
      <c r="Y73" s="39"/>
      <c r="Z73" s="39"/>
      <c r="AA73" s="39"/>
      <c r="AB73" s="39"/>
      <c r="AC73" s="39"/>
      <c r="AD73" s="39"/>
      <c r="AE73" s="39"/>
      <c r="AF73" s="39"/>
      <c r="AG73" s="39"/>
    </row>
    <row r="74" spans="1:33" s="18" customFormat="1" ht="24" customHeight="1" x14ac:dyDescent="0.25">
      <c r="A74" s="19">
        <v>1</v>
      </c>
      <c r="B74" s="20"/>
      <c r="C74" s="9"/>
      <c r="D74" s="19"/>
      <c r="E74" s="54"/>
      <c r="F74" s="19"/>
      <c r="G74" s="22"/>
      <c r="H74" s="22"/>
      <c r="I74" s="23"/>
      <c r="J74" s="23"/>
      <c r="K74" s="9"/>
      <c r="L74" s="23"/>
      <c r="M74" s="19"/>
      <c r="N74" s="32"/>
      <c r="O74" s="32"/>
      <c r="P74" s="32"/>
      <c r="Q74" s="32"/>
      <c r="R74" s="33"/>
      <c r="S74" s="55"/>
      <c r="T74" s="139"/>
      <c r="U74" s="33"/>
      <c r="V74" s="147"/>
      <c r="W74" s="32"/>
      <c r="X74" s="32"/>
      <c r="Y74" s="32"/>
      <c r="Z74" s="32"/>
      <c r="AA74" s="32"/>
      <c r="AB74" s="32"/>
      <c r="AC74" s="32"/>
      <c r="AD74" s="32"/>
      <c r="AE74" s="32"/>
      <c r="AF74" s="32"/>
      <c r="AG74" s="32"/>
    </row>
    <row r="75" spans="1:33" s="18" customFormat="1" ht="24" customHeight="1" x14ac:dyDescent="0.25">
      <c r="A75" s="19">
        <v>2</v>
      </c>
      <c r="B75" s="20"/>
      <c r="C75" s="9"/>
      <c r="D75" s="19"/>
      <c r="E75" s="54"/>
      <c r="F75" s="19"/>
      <c r="G75" s="22"/>
      <c r="H75" s="22"/>
      <c r="I75" s="23"/>
      <c r="J75" s="23"/>
      <c r="K75" s="9"/>
      <c r="L75" s="23"/>
      <c r="M75" s="19"/>
      <c r="N75" s="32"/>
      <c r="O75" s="32"/>
      <c r="P75" s="32"/>
      <c r="Q75" s="32"/>
      <c r="R75" s="33"/>
      <c r="S75" s="55"/>
      <c r="T75" s="139"/>
      <c r="U75" s="33"/>
      <c r="V75" s="147"/>
      <c r="W75" s="32"/>
      <c r="X75" s="32"/>
      <c r="Y75" s="32"/>
      <c r="Z75" s="32"/>
      <c r="AA75" s="32"/>
      <c r="AB75" s="32"/>
      <c r="AC75" s="32"/>
      <c r="AD75" s="32"/>
      <c r="AE75" s="32"/>
      <c r="AF75" s="32"/>
      <c r="AG75" s="32"/>
    </row>
    <row r="76" spans="1:33" s="18" customFormat="1" ht="24" customHeight="1" x14ac:dyDescent="0.25">
      <c r="A76" s="19">
        <v>3</v>
      </c>
      <c r="B76" s="20"/>
      <c r="C76" s="9"/>
      <c r="D76" s="19"/>
      <c r="E76" s="54"/>
      <c r="F76" s="19"/>
      <c r="G76" s="22"/>
      <c r="H76" s="22"/>
      <c r="I76" s="23"/>
      <c r="J76" s="23"/>
      <c r="K76" s="9"/>
      <c r="L76" s="23"/>
      <c r="M76" s="19"/>
      <c r="N76" s="32"/>
      <c r="O76" s="32"/>
      <c r="P76" s="32"/>
      <c r="Q76" s="32"/>
      <c r="R76" s="33"/>
      <c r="S76" s="55"/>
      <c r="T76" s="139"/>
      <c r="U76" s="33"/>
      <c r="V76" s="147"/>
      <c r="W76" s="32"/>
      <c r="X76" s="32"/>
      <c r="Y76" s="32"/>
      <c r="Z76" s="32"/>
      <c r="AA76" s="32"/>
      <c r="AB76" s="32"/>
      <c r="AC76" s="32"/>
      <c r="AD76" s="32"/>
      <c r="AE76" s="32"/>
      <c r="AF76" s="32"/>
      <c r="AG76" s="32"/>
    </row>
    <row r="77" spans="1:33" s="18" customFormat="1" ht="24" customHeight="1" x14ac:dyDescent="0.25">
      <c r="A77" s="19">
        <v>4</v>
      </c>
      <c r="B77" s="20"/>
      <c r="C77" s="9"/>
      <c r="D77" s="19"/>
      <c r="E77" s="54"/>
      <c r="F77" s="19"/>
      <c r="G77" s="22"/>
      <c r="H77" s="22"/>
      <c r="I77" s="23"/>
      <c r="J77" s="23"/>
      <c r="K77" s="9"/>
      <c r="L77" s="23"/>
      <c r="M77" s="19"/>
      <c r="N77" s="32"/>
      <c r="O77" s="32"/>
      <c r="P77" s="32"/>
      <c r="Q77" s="32"/>
      <c r="R77" s="33"/>
      <c r="S77" s="55"/>
      <c r="T77" s="139"/>
      <c r="U77" s="33"/>
      <c r="V77" s="147"/>
      <c r="W77" s="32"/>
      <c r="X77" s="32"/>
      <c r="Y77" s="32"/>
      <c r="Z77" s="32"/>
      <c r="AA77" s="32"/>
      <c r="AB77" s="32"/>
      <c r="AC77" s="32"/>
      <c r="AD77" s="32"/>
      <c r="AE77" s="32"/>
      <c r="AF77" s="32"/>
      <c r="AG77" s="32"/>
    </row>
    <row r="78" spans="1:33" s="18" customFormat="1" ht="24" customHeight="1" x14ac:dyDescent="0.25">
      <c r="A78" s="19">
        <v>5</v>
      </c>
      <c r="B78" s="20"/>
      <c r="C78" s="9"/>
      <c r="D78" s="19"/>
      <c r="E78" s="54"/>
      <c r="F78" s="19"/>
      <c r="G78" s="22"/>
      <c r="H78" s="22"/>
      <c r="I78" s="23"/>
      <c r="J78" s="23"/>
      <c r="K78" s="9"/>
      <c r="L78" s="23"/>
      <c r="M78" s="19"/>
      <c r="N78" s="32"/>
      <c r="O78" s="32"/>
      <c r="P78" s="32"/>
      <c r="Q78" s="32"/>
      <c r="R78" s="33"/>
      <c r="S78" s="55"/>
      <c r="T78" s="139"/>
      <c r="U78" s="33"/>
      <c r="V78" s="147"/>
      <c r="W78" s="32"/>
      <c r="X78" s="32"/>
      <c r="Y78" s="32"/>
      <c r="Z78" s="32"/>
      <c r="AA78" s="32"/>
      <c r="AB78" s="32"/>
      <c r="AC78" s="32"/>
      <c r="AD78" s="32"/>
      <c r="AE78" s="32"/>
      <c r="AF78" s="32"/>
      <c r="AG78" s="32"/>
    </row>
    <row r="79" spans="1:33" s="18" customFormat="1" ht="24" customHeight="1" x14ac:dyDescent="0.25">
      <c r="A79" s="19">
        <v>6</v>
      </c>
      <c r="B79" s="20"/>
      <c r="C79" s="9"/>
      <c r="D79" s="19"/>
      <c r="E79" s="54"/>
      <c r="F79" s="19"/>
      <c r="G79" s="22"/>
      <c r="H79" s="22"/>
      <c r="I79" s="23"/>
      <c r="J79" s="23"/>
      <c r="K79" s="9"/>
      <c r="L79" s="23"/>
      <c r="M79" s="19"/>
      <c r="N79" s="32"/>
      <c r="O79" s="32"/>
      <c r="P79" s="32"/>
      <c r="Q79" s="32"/>
      <c r="R79" s="33"/>
      <c r="S79" s="55"/>
      <c r="T79" s="139"/>
      <c r="U79" s="33"/>
      <c r="V79" s="147"/>
      <c r="W79" s="32"/>
      <c r="X79" s="32"/>
      <c r="Y79" s="32"/>
      <c r="Z79" s="32"/>
      <c r="AA79" s="32"/>
      <c r="AB79" s="32"/>
      <c r="AC79" s="32"/>
      <c r="AD79" s="32"/>
      <c r="AE79" s="32"/>
      <c r="AF79" s="32"/>
      <c r="AG79" s="32"/>
    </row>
    <row r="80" spans="1:33" s="18" customFormat="1" ht="12" x14ac:dyDescent="0.25">
      <c r="A80" s="19">
        <v>7</v>
      </c>
      <c r="B80" s="20"/>
      <c r="C80" s="9"/>
      <c r="D80" s="19"/>
      <c r="E80" s="42"/>
      <c r="F80" s="19"/>
      <c r="G80" s="22"/>
      <c r="H80" s="22"/>
      <c r="I80" s="23"/>
      <c r="J80" s="23"/>
      <c r="K80" s="9"/>
      <c r="L80" s="23"/>
      <c r="M80" s="19"/>
      <c r="N80" s="32"/>
      <c r="O80" s="32"/>
      <c r="P80" s="32"/>
      <c r="Q80" s="32"/>
      <c r="R80" s="33"/>
      <c r="S80" s="55"/>
      <c r="T80" s="139"/>
      <c r="U80" s="33"/>
      <c r="V80" s="147"/>
      <c r="W80" s="32"/>
      <c r="X80" s="32"/>
      <c r="Y80" s="32"/>
      <c r="Z80" s="32"/>
      <c r="AA80" s="32"/>
      <c r="AB80" s="32"/>
      <c r="AC80" s="32"/>
      <c r="AD80" s="32"/>
      <c r="AE80" s="32"/>
      <c r="AF80" s="32"/>
      <c r="AG80" s="32"/>
    </row>
    <row r="81" spans="1:33" s="18" customFormat="1" ht="93" customHeight="1" x14ac:dyDescent="0.25">
      <c r="A81" s="19">
        <v>8</v>
      </c>
      <c r="B81" s="20"/>
      <c r="C81" s="9"/>
      <c r="D81" s="19"/>
      <c r="E81" s="42"/>
      <c r="F81" s="19"/>
      <c r="G81" s="22"/>
      <c r="H81" s="22"/>
      <c r="I81" s="23"/>
      <c r="J81" s="23"/>
      <c r="K81" s="9"/>
      <c r="L81" s="23"/>
      <c r="M81" s="19"/>
      <c r="N81" s="32"/>
      <c r="O81" s="32"/>
      <c r="P81" s="32"/>
      <c r="Q81" s="32"/>
      <c r="R81" s="33"/>
      <c r="S81" s="55"/>
      <c r="T81" s="139"/>
      <c r="U81" s="33"/>
      <c r="V81" s="147"/>
      <c r="W81" s="32"/>
      <c r="X81" s="32"/>
      <c r="Y81" s="32"/>
      <c r="Z81" s="32"/>
      <c r="AA81" s="32"/>
      <c r="AB81" s="32"/>
      <c r="AC81" s="32"/>
      <c r="AD81" s="32"/>
      <c r="AE81" s="32"/>
      <c r="AF81" s="32"/>
      <c r="AG81" s="32"/>
    </row>
    <row r="82" spans="1:33" s="18" customFormat="1" ht="24" customHeight="1" x14ac:dyDescent="0.25">
      <c r="A82" s="19">
        <v>9</v>
      </c>
      <c r="B82" s="20"/>
      <c r="C82" s="9"/>
      <c r="D82" s="19"/>
      <c r="E82" s="54"/>
      <c r="F82" s="19"/>
      <c r="G82" s="22"/>
      <c r="H82" s="22"/>
      <c r="I82" s="23"/>
      <c r="J82" s="23"/>
      <c r="K82" s="9"/>
      <c r="L82" s="23"/>
      <c r="M82" s="19"/>
      <c r="N82" s="19"/>
      <c r="O82" s="32"/>
      <c r="P82" s="32"/>
      <c r="Q82" s="32"/>
      <c r="R82" s="33"/>
      <c r="S82" s="55"/>
      <c r="T82" s="139"/>
      <c r="U82" s="33"/>
      <c r="V82" s="147"/>
      <c r="W82" s="32"/>
      <c r="X82" s="32"/>
      <c r="Y82" s="32"/>
      <c r="Z82" s="32"/>
      <c r="AA82" s="32"/>
      <c r="AB82" s="32"/>
      <c r="AC82" s="32"/>
      <c r="AD82" s="32"/>
      <c r="AE82" s="32"/>
      <c r="AF82" s="32"/>
      <c r="AG82" s="32"/>
    </row>
    <row r="83" spans="1:33" s="53" customFormat="1" ht="24" customHeight="1" x14ac:dyDescent="0.25">
      <c r="A83" s="10" t="s">
        <v>371</v>
      </c>
      <c r="B83" s="11" t="s">
        <v>464</v>
      </c>
      <c r="C83" s="12"/>
      <c r="D83" s="13"/>
      <c r="E83" s="14"/>
      <c r="F83" s="13"/>
      <c r="G83" s="15"/>
      <c r="H83" s="15"/>
      <c r="I83" s="16"/>
      <c r="J83" s="16"/>
      <c r="K83" s="12"/>
      <c r="L83" s="16"/>
      <c r="M83" s="13"/>
      <c r="N83" s="39"/>
      <c r="O83" s="39"/>
      <c r="P83" s="39"/>
      <c r="Q83" s="39"/>
      <c r="R83" s="40"/>
      <c r="S83" s="158"/>
      <c r="T83" s="141"/>
      <c r="U83" s="40"/>
      <c r="V83" s="145"/>
      <c r="W83" s="39"/>
      <c r="X83" s="39"/>
      <c r="Y83" s="39"/>
      <c r="Z83" s="39"/>
      <c r="AA83" s="39"/>
      <c r="AB83" s="39"/>
      <c r="AC83" s="39"/>
      <c r="AD83" s="39"/>
      <c r="AE83" s="39"/>
      <c r="AF83" s="39"/>
      <c r="AG83" s="39"/>
    </row>
    <row r="84" spans="1:33" s="18" customFormat="1" ht="34.9" customHeight="1" x14ac:dyDescent="0.25">
      <c r="A84" s="19">
        <v>1</v>
      </c>
      <c r="B84" s="20"/>
      <c r="C84" s="9"/>
      <c r="D84" s="19"/>
      <c r="E84" s="42"/>
      <c r="F84" s="19"/>
      <c r="G84" s="22"/>
      <c r="H84" s="22"/>
      <c r="I84" s="23"/>
      <c r="J84" s="23"/>
      <c r="K84" s="9"/>
      <c r="L84" s="23"/>
      <c r="M84" s="19"/>
      <c r="N84" s="32"/>
      <c r="O84" s="32"/>
      <c r="P84" s="32"/>
      <c r="Q84" s="32"/>
      <c r="R84" s="33"/>
      <c r="S84" s="55"/>
      <c r="T84" s="139"/>
      <c r="U84" s="33"/>
      <c r="V84" s="147"/>
      <c r="W84" s="32"/>
      <c r="X84" s="32"/>
      <c r="Y84" s="32"/>
      <c r="Z84" s="32"/>
      <c r="AA84" s="32"/>
      <c r="AB84" s="32"/>
      <c r="AC84" s="32"/>
      <c r="AD84" s="32"/>
      <c r="AE84" s="32"/>
      <c r="AF84" s="32"/>
      <c r="AG84" s="32"/>
    </row>
    <row r="85" spans="1:33" s="18" customFormat="1" ht="63.6" customHeight="1" x14ac:dyDescent="0.25">
      <c r="A85" s="19">
        <v>2</v>
      </c>
      <c r="B85" s="20"/>
      <c r="C85" s="9"/>
      <c r="D85" s="19"/>
      <c r="E85" s="42"/>
      <c r="F85" s="19"/>
      <c r="G85" s="22"/>
      <c r="H85" s="22"/>
      <c r="I85" s="23"/>
      <c r="J85" s="23"/>
      <c r="K85" s="9"/>
      <c r="L85" s="23"/>
      <c r="M85" s="19"/>
      <c r="N85" s="35"/>
      <c r="O85" s="32"/>
      <c r="P85" s="32"/>
      <c r="Q85" s="32"/>
      <c r="R85" s="33"/>
      <c r="S85" s="55"/>
      <c r="T85" s="139"/>
      <c r="U85" s="33"/>
      <c r="V85" s="147"/>
      <c r="W85" s="32"/>
      <c r="X85" s="32"/>
      <c r="Y85" s="32"/>
      <c r="Z85" s="32"/>
      <c r="AA85" s="32"/>
      <c r="AB85" s="32"/>
      <c r="AC85" s="32"/>
      <c r="AD85" s="32"/>
      <c r="AE85" s="32"/>
      <c r="AF85" s="32"/>
      <c r="AG85" s="32"/>
    </row>
    <row r="86" spans="1:33" s="18" customFormat="1" ht="49.15" customHeight="1" x14ac:dyDescent="0.25">
      <c r="A86" s="19">
        <v>3</v>
      </c>
      <c r="B86" s="20"/>
      <c r="C86" s="9"/>
      <c r="D86" s="19"/>
      <c r="E86" s="42"/>
      <c r="F86" s="19"/>
      <c r="G86" s="22"/>
      <c r="H86" s="22"/>
      <c r="I86" s="23"/>
      <c r="J86" s="23"/>
      <c r="K86" s="9"/>
      <c r="L86" s="23"/>
      <c r="M86" s="19"/>
      <c r="N86" s="35"/>
      <c r="O86" s="32"/>
      <c r="P86" s="32"/>
      <c r="Q86" s="32"/>
      <c r="R86" s="33"/>
      <c r="S86" s="55"/>
      <c r="T86" s="139"/>
      <c r="U86" s="33"/>
      <c r="V86" s="147"/>
      <c r="W86" s="32"/>
      <c r="X86" s="32"/>
      <c r="Y86" s="32"/>
      <c r="Z86" s="32"/>
      <c r="AA86" s="32"/>
      <c r="AB86" s="32"/>
      <c r="AC86" s="32"/>
      <c r="AD86" s="32"/>
      <c r="AE86" s="32"/>
      <c r="AF86" s="32"/>
      <c r="AG86" s="32"/>
    </row>
    <row r="87" spans="1:33" s="18" customFormat="1" ht="49.9" customHeight="1" x14ac:dyDescent="0.25">
      <c r="A87" s="19">
        <v>4</v>
      </c>
      <c r="B87" s="20"/>
      <c r="C87" s="9"/>
      <c r="D87" s="19"/>
      <c r="E87" s="42"/>
      <c r="F87" s="19"/>
      <c r="G87" s="22"/>
      <c r="H87" s="22"/>
      <c r="I87" s="23"/>
      <c r="J87" s="23"/>
      <c r="K87" s="9"/>
      <c r="L87" s="23"/>
      <c r="M87" s="19"/>
      <c r="N87" s="35"/>
      <c r="O87" s="32"/>
      <c r="P87" s="32"/>
      <c r="Q87" s="32"/>
      <c r="R87" s="33"/>
      <c r="S87" s="55"/>
      <c r="T87" s="139"/>
      <c r="U87" s="33"/>
      <c r="V87" s="147"/>
      <c r="W87" s="32"/>
      <c r="X87" s="32"/>
      <c r="Y87" s="32"/>
      <c r="Z87" s="32"/>
      <c r="AA87" s="32"/>
      <c r="AB87" s="32"/>
      <c r="AC87" s="32"/>
      <c r="AD87" s="32"/>
      <c r="AE87" s="32"/>
      <c r="AF87" s="32"/>
      <c r="AG87" s="32"/>
    </row>
    <row r="88" spans="1:33" s="18" customFormat="1" ht="60" customHeight="1" x14ac:dyDescent="0.25">
      <c r="A88" s="19">
        <v>5</v>
      </c>
      <c r="B88" s="20"/>
      <c r="C88" s="9"/>
      <c r="D88" s="19"/>
      <c r="E88" s="42"/>
      <c r="F88" s="19"/>
      <c r="G88" s="22"/>
      <c r="H88" s="22"/>
      <c r="I88" s="23"/>
      <c r="J88" s="23"/>
      <c r="K88" s="9"/>
      <c r="L88" s="23"/>
      <c r="M88" s="19"/>
      <c r="N88" s="35"/>
      <c r="O88" s="32"/>
      <c r="P88" s="32"/>
      <c r="Q88" s="32"/>
      <c r="R88" s="33"/>
      <c r="S88" s="55"/>
      <c r="T88" s="139"/>
      <c r="U88" s="33"/>
      <c r="V88" s="147"/>
      <c r="W88" s="32"/>
      <c r="X88" s="32"/>
      <c r="Y88" s="32"/>
      <c r="Z88" s="32"/>
      <c r="AA88" s="32"/>
      <c r="AB88" s="32"/>
      <c r="AC88" s="32"/>
      <c r="AD88" s="32"/>
      <c r="AE88" s="32"/>
      <c r="AF88" s="32"/>
      <c r="AG88" s="32"/>
    </row>
    <row r="89" spans="1:33" s="18" customFormat="1" ht="60" customHeight="1" x14ac:dyDescent="0.25">
      <c r="A89" s="19">
        <v>6</v>
      </c>
      <c r="B89" s="20"/>
      <c r="C89" s="9"/>
      <c r="D89" s="19"/>
      <c r="E89" s="42"/>
      <c r="F89" s="19"/>
      <c r="G89" s="22"/>
      <c r="H89" s="22"/>
      <c r="I89" s="23"/>
      <c r="J89" s="23"/>
      <c r="K89" s="9"/>
      <c r="L89" s="23"/>
      <c r="M89" s="19"/>
      <c r="N89" s="32"/>
      <c r="O89" s="32"/>
      <c r="P89" s="32"/>
      <c r="Q89" s="32"/>
      <c r="R89" s="33"/>
      <c r="S89" s="55"/>
      <c r="T89" s="139"/>
      <c r="U89" s="33"/>
      <c r="V89" s="147"/>
      <c r="W89" s="32"/>
      <c r="X89" s="32"/>
      <c r="Y89" s="32"/>
      <c r="Z89" s="32"/>
      <c r="AA89" s="32"/>
      <c r="AB89" s="32"/>
      <c r="AC89" s="32"/>
      <c r="AD89" s="32"/>
      <c r="AE89" s="32"/>
      <c r="AF89" s="32"/>
      <c r="AG89" s="32"/>
    </row>
    <row r="90" spans="1:33" s="18" customFormat="1" ht="60" customHeight="1" x14ac:dyDescent="0.25">
      <c r="A90" s="19">
        <v>7</v>
      </c>
      <c r="B90" s="20"/>
      <c r="C90" s="24"/>
      <c r="D90" s="19"/>
      <c r="E90" s="42"/>
      <c r="F90" s="19"/>
      <c r="G90" s="22"/>
      <c r="H90" s="22"/>
      <c r="I90" s="23"/>
      <c r="J90" s="23"/>
      <c r="K90" s="9"/>
      <c r="L90" s="23"/>
      <c r="M90" s="19"/>
      <c r="N90" s="32"/>
      <c r="O90" s="32"/>
      <c r="P90" s="32"/>
      <c r="Q90" s="32"/>
      <c r="R90" s="33"/>
      <c r="S90" s="157"/>
      <c r="T90" s="139"/>
      <c r="U90" s="33"/>
      <c r="V90" s="147"/>
      <c r="W90" s="32"/>
      <c r="X90" s="32"/>
      <c r="Y90" s="32"/>
      <c r="Z90" s="32"/>
      <c r="AA90" s="32"/>
      <c r="AB90" s="32"/>
      <c r="AC90" s="32"/>
      <c r="AD90" s="32"/>
      <c r="AE90" s="32"/>
      <c r="AF90" s="32"/>
      <c r="AG90" s="32"/>
    </row>
    <row r="91" spans="1:33" s="18" customFormat="1" ht="12" x14ac:dyDescent="0.25">
      <c r="A91" s="19">
        <v>8</v>
      </c>
      <c r="B91" s="20"/>
      <c r="C91" s="24"/>
      <c r="D91" s="19"/>
      <c r="E91" s="42"/>
      <c r="F91" s="19"/>
      <c r="G91" s="22"/>
      <c r="H91" s="22"/>
      <c r="I91" s="23"/>
      <c r="J91" s="23"/>
      <c r="K91" s="9"/>
      <c r="L91" s="23"/>
      <c r="M91" s="19"/>
      <c r="N91" s="32"/>
      <c r="O91" s="32"/>
      <c r="P91" s="32"/>
      <c r="Q91" s="32"/>
      <c r="R91" s="33"/>
      <c r="S91" s="157"/>
      <c r="T91" s="139"/>
      <c r="U91" s="33"/>
      <c r="V91" s="147"/>
      <c r="W91" s="32"/>
      <c r="X91" s="32"/>
      <c r="Y91" s="32"/>
      <c r="Z91" s="32"/>
      <c r="AA91" s="32"/>
      <c r="AB91" s="32"/>
      <c r="AC91" s="32"/>
      <c r="AD91" s="32"/>
      <c r="AE91" s="32"/>
      <c r="AF91" s="32"/>
      <c r="AG91" s="32"/>
    </row>
    <row r="92" spans="1:33" s="18" customFormat="1" ht="12" x14ac:dyDescent="0.25">
      <c r="A92" s="19">
        <v>9</v>
      </c>
      <c r="B92" s="20"/>
      <c r="C92" s="24"/>
      <c r="D92" s="19"/>
      <c r="E92" s="42"/>
      <c r="F92" s="19"/>
      <c r="G92" s="22"/>
      <c r="H92" s="22"/>
      <c r="I92" s="23"/>
      <c r="J92" s="23"/>
      <c r="K92" s="9"/>
      <c r="L92" s="23"/>
      <c r="M92" s="19"/>
      <c r="N92" s="32"/>
      <c r="O92" s="32"/>
      <c r="P92" s="32"/>
      <c r="Q92" s="32"/>
      <c r="R92" s="33"/>
      <c r="S92" s="157"/>
      <c r="T92" s="139"/>
      <c r="U92" s="33"/>
      <c r="V92" s="147"/>
      <c r="W92" s="32"/>
      <c r="X92" s="32"/>
      <c r="Y92" s="32"/>
      <c r="Z92" s="32"/>
      <c r="AA92" s="32"/>
      <c r="AB92" s="32"/>
      <c r="AC92" s="32"/>
      <c r="AD92" s="32"/>
      <c r="AE92" s="32"/>
      <c r="AF92" s="32"/>
      <c r="AG92" s="32"/>
    </row>
    <row r="93" spans="1:33" s="53" customFormat="1" ht="24" customHeight="1" x14ac:dyDescent="0.25">
      <c r="A93" s="10" t="s">
        <v>393</v>
      </c>
      <c r="B93" s="11" t="s">
        <v>394</v>
      </c>
      <c r="C93" s="12"/>
      <c r="D93" s="13"/>
      <c r="E93" s="14"/>
      <c r="F93" s="13"/>
      <c r="G93" s="15"/>
      <c r="H93" s="15"/>
      <c r="I93" s="16"/>
      <c r="J93" s="16"/>
      <c r="K93" s="12"/>
      <c r="L93" s="16"/>
      <c r="M93" s="13"/>
      <c r="N93" s="39"/>
      <c r="O93" s="39"/>
      <c r="P93" s="39"/>
      <c r="Q93" s="39"/>
      <c r="R93" s="40"/>
      <c r="S93" s="158"/>
      <c r="T93" s="141"/>
      <c r="U93" s="40"/>
      <c r="V93" s="145"/>
      <c r="W93" s="39"/>
      <c r="X93" s="39"/>
      <c r="Y93" s="39"/>
      <c r="Z93" s="39"/>
      <c r="AA93" s="39"/>
      <c r="AB93" s="39"/>
      <c r="AC93" s="39"/>
      <c r="AD93" s="39"/>
      <c r="AE93" s="39"/>
      <c r="AF93" s="39"/>
      <c r="AG93" s="39"/>
    </row>
    <row r="94" spans="1:33" s="18" customFormat="1" ht="62.45" customHeight="1" x14ac:dyDescent="0.25">
      <c r="A94" s="19">
        <v>1</v>
      </c>
      <c r="B94" s="20"/>
      <c r="C94" s="9"/>
      <c r="D94" s="19"/>
      <c r="E94" s="42"/>
      <c r="F94" s="19"/>
      <c r="G94" s="22"/>
      <c r="H94" s="22"/>
      <c r="I94" s="23"/>
      <c r="J94" s="23"/>
      <c r="K94" s="9"/>
      <c r="L94" s="23"/>
      <c r="M94" s="19"/>
      <c r="N94" s="32"/>
      <c r="O94" s="32"/>
      <c r="P94" s="32"/>
      <c r="Q94" s="32"/>
      <c r="R94" s="33"/>
      <c r="S94" s="55"/>
      <c r="T94" s="139"/>
      <c r="U94" s="33"/>
      <c r="V94" s="147"/>
      <c r="W94" s="32"/>
      <c r="X94" s="32"/>
      <c r="Y94" s="32"/>
      <c r="Z94" s="32"/>
      <c r="AA94" s="32"/>
      <c r="AB94" s="32"/>
      <c r="AC94" s="32"/>
      <c r="AD94" s="32"/>
      <c r="AE94" s="32"/>
      <c r="AF94" s="32"/>
      <c r="AG94" s="32"/>
    </row>
    <row r="95" spans="1:33" s="18" customFormat="1" ht="37.15" customHeight="1" x14ac:dyDescent="0.25">
      <c r="A95" s="19">
        <v>2</v>
      </c>
      <c r="B95" s="20"/>
      <c r="C95" s="9"/>
      <c r="D95" s="19"/>
      <c r="E95" s="42"/>
      <c r="F95" s="19"/>
      <c r="G95" s="22"/>
      <c r="H95" s="22"/>
      <c r="I95" s="23"/>
      <c r="J95" s="23"/>
      <c r="K95" s="9"/>
      <c r="L95" s="23"/>
      <c r="M95" s="32"/>
      <c r="N95" s="32"/>
      <c r="O95" s="32"/>
      <c r="P95" s="32"/>
      <c r="Q95" s="32"/>
      <c r="R95" s="33"/>
      <c r="S95" s="55"/>
      <c r="T95" s="139"/>
      <c r="U95" s="33"/>
      <c r="V95" s="147"/>
      <c r="W95" s="32"/>
      <c r="X95" s="32"/>
      <c r="Y95" s="32"/>
      <c r="Z95" s="32"/>
      <c r="AA95" s="32"/>
      <c r="AB95" s="32"/>
      <c r="AC95" s="32"/>
      <c r="AD95" s="32"/>
      <c r="AE95" s="32"/>
      <c r="AF95" s="32"/>
      <c r="AG95" s="32"/>
    </row>
    <row r="96" spans="1:33" s="18" customFormat="1" ht="37.15" customHeight="1" x14ac:dyDescent="0.25">
      <c r="A96" s="19">
        <v>3</v>
      </c>
      <c r="B96" s="20"/>
      <c r="C96" s="9"/>
      <c r="D96" s="19"/>
      <c r="E96" s="42"/>
      <c r="F96" s="19"/>
      <c r="G96" s="22"/>
      <c r="H96" s="22"/>
      <c r="I96" s="23"/>
      <c r="J96" s="23"/>
      <c r="K96" s="9"/>
      <c r="L96" s="23"/>
      <c r="M96" s="19"/>
      <c r="N96" s="32"/>
      <c r="O96" s="32"/>
      <c r="P96" s="32"/>
      <c r="Q96" s="32"/>
      <c r="R96" s="33"/>
      <c r="S96" s="55"/>
      <c r="T96" s="139"/>
      <c r="U96" s="33"/>
      <c r="V96" s="147"/>
      <c r="W96" s="32"/>
      <c r="X96" s="32"/>
      <c r="Y96" s="32"/>
      <c r="Z96" s="32"/>
      <c r="AA96" s="32"/>
      <c r="AB96" s="32"/>
      <c r="AC96" s="32"/>
      <c r="AD96" s="32"/>
      <c r="AE96" s="32"/>
      <c r="AF96" s="32"/>
      <c r="AG96" s="32"/>
    </row>
    <row r="97" spans="1:33" s="53" customFormat="1" ht="24" customHeight="1" x14ac:dyDescent="0.25">
      <c r="A97" s="10" t="s">
        <v>408</v>
      </c>
      <c r="B97" s="11" t="s">
        <v>409</v>
      </c>
      <c r="C97" s="12"/>
      <c r="D97" s="13"/>
      <c r="E97" s="14"/>
      <c r="F97" s="13"/>
      <c r="G97" s="15"/>
      <c r="H97" s="15"/>
      <c r="I97" s="16"/>
      <c r="J97" s="16"/>
      <c r="K97" s="12"/>
      <c r="L97" s="16"/>
      <c r="M97" s="13"/>
      <c r="N97" s="39"/>
      <c r="O97" s="39"/>
      <c r="P97" s="39"/>
      <c r="Q97" s="39"/>
      <c r="R97" s="40"/>
      <c r="S97" s="158"/>
      <c r="T97" s="141"/>
      <c r="U97" s="40"/>
      <c r="V97" s="145"/>
      <c r="W97" s="39"/>
      <c r="X97" s="39"/>
      <c r="Y97" s="39"/>
      <c r="Z97" s="39"/>
      <c r="AA97" s="39"/>
      <c r="AB97" s="39"/>
      <c r="AC97" s="39"/>
      <c r="AD97" s="39"/>
      <c r="AE97" s="39"/>
      <c r="AF97" s="39"/>
      <c r="AG97" s="39"/>
    </row>
    <row r="98" spans="1:33" s="18" customFormat="1" ht="91.9" customHeight="1" x14ac:dyDescent="0.25">
      <c r="A98" s="19">
        <v>1</v>
      </c>
      <c r="B98" s="20"/>
      <c r="C98" s="9"/>
      <c r="D98" s="19"/>
      <c r="E98" s="42"/>
      <c r="F98" s="19"/>
      <c r="G98" s="22"/>
      <c r="H98" s="22"/>
      <c r="I98" s="23"/>
      <c r="J98" s="23"/>
      <c r="K98" s="9"/>
      <c r="L98" s="23"/>
      <c r="M98" s="19"/>
      <c r="N98" s="19"/>
      <c r="O98" s="32"/>
      <c r="P98" s="32"/>
      <c r="Q98" s="32"/>
      <c r="R98" s="33"/>
      <c r="S98" s="55"/>
      <c r="T98" s="139"/>
      <c r="U98" s="33"/>
      <c r="V98" s="147"/>
      <c r="W98" s="32"/>
      <c r="X98" s="32"/>
      <c r="Y98" s="32"/>
      <c r="Z98" s="32"/>
      <c r="AA98" s="32"/>
      <c r="AB98" s="32"/>
      <c r="AC98" s="32"/>
      <c r="AD98" s="32"/>
      <c r="AE98" s="32"/>
      <c r="AF98" s="32"/>
      <c r="AG98" s="32"/>
    </row>
    <row r="99" spans="1:33" s="18" customFormat="1" ht="91.9" customHeight="1" x14ac:dyDescent="0.25">
      <c r="A99" s="19">
        <v>2</v>
      </c>
      <c r="B99" s="20"/>
      <c r="C99" s="9"/>
      <c r="D99" s="19"/>
      <c r="E99" s="42"/>
      <c r="F99" s="19"/>
      <c r="G99" s="22"/>
      <c r="H99" s="22"/>
      <c r="I99" s="23"/>
      <c r="J99" s="23"/>
      <c r="K99" s="9"/>
      <c r="L99" s="23"/>
      <c r="M99" s="19"/>
      <c r="N99" s="19"/>
      <c r="O99" s="32"/>
      <c r="P99" s="32"/>
      <c r="Q99" s="32"/>
      <c r="R99" s="33"/>
      <c r="S99" s="55"/>
      <c r="T99" s="139"/>
      <c r="U99" s="33"/>
      <c r="V99" s="147"/>
      <c r="W99" s="32"/>
      <c r="X99" s="32"/>
      <c r="Y99" s="32"/>
      <c r="Z99" s="32"/>
      <c r="AA99" s="32"/>
      <c r="AB99" s="32"/>
      <c r="AC99" s="32"/>
      <c r="AD99" s="32"/>
      <c r="AE99" s="32"/>
      <c r="AF99" s="32"/>
      <c r="AG99" s="32"/>
    </row>
    <row r="100" spans="1:33" s="18" customFormat="1" ht="91.9" customHeight="1" x14ac:dyDescent="0.25">
      <c r="A100" s="19">
        <v>3</v>
      </c>
      <c r="B100" s="20"/>
      <c r="C100" s="9"/>
      <c r="D100" s="19"/>
      <c r="E100" s="42"/>
      <c r="F100" s="19"/>
      <c r="G100" s="22"/>
      <c r="H100" s="22"/>
      <c r="I100" s="23"/>
      <c r="J100" s="23"/>
      <c r="K100" s="9"/>
      <c r="L100" s="23"/>
      <c r="M100" s="19"/>
      <c r="N100" s="19"/>
      <c r="O100" s="32"/>
      <c r="P100" s="32"/>
      <c r="Q100" s="32"/>
      <c r="R100" s="33"/>
      <c r="S100" s="55"/>
      <c r="T100" s="139"/>
      <c r="U100" s="33"/>
      <c r="V100" s="147"/>
      <c r="W100" s="32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</row>
    <row r="101" spans="1:33" s="18" customFormat="1" ht="24" customHeight="1" x14ac:dyDescent="0.25">
      <c r="A101" s="19">
        <v>4</v>
      </c>
      <c r="B101" s="20"/>
      <c r="C101" s="9"/>
      <c r="D101" s="19"/>
      <c r="E101" s="42"/>
      <c r="F101" s="19"/>
      <c r="G101" s="22"/>
      <c r="H101" s="22"/>
      <c r="I101" s="23"/>
      <c r="J101" s="23"/>
      <c r="K101" s="9"/>
      <c r="L101" s="23"/>
      <c r="M101" s="19"/>
      <c r="N101" s="19"/>
      <c r="O101" s="32"/>
      <c r="P101" s="32"/>
      <c r="Q101" s="32"/>
      <c r="R101" s="33"/>
      <c r="S101" s="55"/>
      <c r="T101" s="139"/>
      <c r="U101" s="33"/>
      <c r="V101" s="147"/>
      <c r="W101" s="32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</row>
    <row r="102" spans="1:33" s="18" customFormat="1" ht="70.150000000000006" customHeight="1" x14ac:dyDescent="0.25">
      <c r="A102" s="19">
        <v>5</v>
      </c>
      <c r="B102" s="20"/>
      <c r="C102" s="9"/>
      <c r="D102" s="19"/>
      <c r="E102" s="42"/>
      <c r="F102" s="19"/>
      <c r="G102" s="22"/>
      <c r="H102" s="22"/>
      <c r="I102" s="23"/>
      <c r="J102" s="23"/>
      <c r="K102" s="9"/>
      <c r="L102" s="23"/>
      <c r="M102" s="19"/>
      <c r="N102" s="32"/>
      <c r="O102" s="32"/>
      <c r="P102" s="32"/>
      <c r="Q102" s="32"/>
      <c r="R102" s="33"/>
      <c r="S102" s="55"/>
      <c r="T102" s="139"/>
      <c r="U102" s="33"/>
      <c r="V102" s="147"/>
      <c r="W102" s="32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</row>
    <row r="103" spans="1:33" s="18" customFormat="1" ht="24" customHeight="1" x14ac:dyDescent="0.25">
      <c r="A103" s="19">
        <v>6</v>
      </c>
      <c r="B103" s="20"/>
      <c r="C103" s="9"/>
      <c r="D103" s="19"/>
      <c r="E103" s="20"/>
      <c r="F103" s="19"/>
      <c r="G103" s="22"/>
      <c r="H103" s="22"/>
      <c r="I103" s="23"/>
      <c r="J103" s="23"/>
      <c r="K103" s="9"/>
      <c r="L103" s="23"/>
      <c r="M103" s="19"/>
      <c r="N103" s="32"/>
      <c r="O103" s="32"/>
      <c r="P103" s="32"/>
      <c r="Q103" s="32"/>
      <c r="R103" s="33"/>
      <c r="S103" s="55"/>
      <c r="T103" s="139"/>
      <c r="U103" s="33"/>
      <c r="V103" s="147"/>
      <c r="W103" s="32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</row>
    <row r="104" spans="1:33" s="18" customFormat="1" ht="48.6" customHeight="1" x14ac:dyDescent="0.25">
      <c r="A104" s="19">
        <v>7</v>
      </c>
      <c r="B104" s="20"/>
      <c r="C104" s="9"/>
      <c r="D104" s="19"/>
      <c r="E104" s="42"/>
      <c r="F104" s="19"/>
      <c r="G104" s="22"/>
      <c r="H104" s="22"/>
      <c r="I104" s="23"/>
      <c r="J104" s="23"/>
      <c r="K104" s="9"/>
      <c r="L104" s="23"/>
      <c r="M104" s="19"/>
      <c r="N104" s="32"/>
      <c r="O104" s="32"/>
      <c r="P104" s="32"/>
      <c r="Q104" s="32"/>
      <c r="R104" s="33"/>
      <c r="S104" s="55"/>
      <c r="T104" s="139"/>
      <c r="U104" s="33"/>
      <c r="V104" s="147"/>
      <c r="W104" s="32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</row>
    <row r="105" spans="1:33" s="18" customFormat="1" ht="48.6" customHeight="1" x14ac:dyDescent="0.25">
      <c r="A105" s="19">
        <v>8</v>
      </c>
      <c r="B105" s="20"/>
      <c r="C105" s="9"/>
      <c r="D105" s="19"/>
      <c r="E105" s="42"/>
      <c r="F105" s="19"/>
      <c r="G105" s="22"/>
      <c r="H105" s="22"/>
      <c r="I105" s="23"/>
      <c r="J105" s="23"/>
      <c r="K105" s="9"/>
      <c r="L105" s="23"/>
      <c r="M105" s="19"/>
      <c r="N105" s="32"/>
      <c r="O105" s="32"/>
      <c r="P105" s="32"/>
      <c r="Q105" s="32"/>
      <c r="R105" s="33"/>
      <c r="S105" s="55"/>
      <c r="T105" s="139"/>
      <c r="U105" s="33"/>
      <c r="V105" s="147"/>
      <c r="W105" s="32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</row>
    <row r="106" spans="1:33" s="18" customFormat="1" ht="24" customHeight="1" x14ac:dyDescent="0.25">
      <c r="A106" s="75"/>
      <c r="B106" s="76" t="s">
        <v>430</v>
      </c>
      <c r="C106" s="77"/>
      <c r="D106" s="75"/>
      <c r="E106" s="78"/>
      <c r="F106" s="79"/>
      <c r="G106" s="80"/>
      <c r="H106" s="80"/>
      <c r="I106" s="81"/>
      <c r="J106" s="81"/>
      <c r="K106" s="77"/>
      <c r="L106" s="81"/>
      <c r="M106" s="75"/>
      <c r="N106" s="82"/>
      <c r="O106" s="82"/>
      <c r="P106" s="82"/>
      <c r="Q106" s="82"/>
      <c r="R106" s="79"/>
      <c r="S106" s="161"/>
      <c r="T106" s="144"/>
      <c r="U106" s="79"/>
      <c r="V106" s="148"/>
      <c r="W106" s="82"/>
      <c r="X106" s="82"/>
      <c r="Y106" s="82"/>
      <c r="Z106" s="82"/>
      <c r="AA106" s="82"/>
      <c r="AB106" s="82"/>
      <c r="AC106" s="82"/>
      <c r="AD106" s="82"/>
      <c r="AE106" s="82"/>
      <c r="AF106" s="82"/>
      <c r="AG106" s="82"/>
    </row>
  </sheetData>
  <autoFilter ref="B7:AG106" xr:uid="{2E1FABDF-33A0-4E6C-BBC9-23091C1E0ECA}"/>
  <mergeCells count="7">
    <mergeCell ref="A6:A7"/>
    <mergeCell ref="B6:T6"/>
    <mergeCell ref="U6:AG6"/>
    <mergeCell ref="B1:D2"/>
    <mergeCell ref="B3:T3"/>
    <mergeCell ref="B4:T4"/>
    <mergeCell ref="B5:T5"/>
  </mergeCells>
  <conditionalFormatting sqref="C7:C10 C12 C14:C15 C18:C29 C31:C38 C41:C42 C50:C51 C56:C68 C70:C88 C93:C65408">
    <cfRule type="expression" dxfId="28" priority="70" stopIfTrue="1">
      <formula>AND(COUNTIF($C$93:$C$65408, C7)+COUNTIF($C$50:$C$51, C7)+COUNTIF($C$10:$C$11, C7)+COUNTIF(#REF!, C7)+COUNTIF(#REF!, C7)+COUNTIF($C$56:$C$68, C7)+COUNTIF($C$14:$C$15, C7)+COUNTIF($C$70:$C$88, C7)+COUNTIF(#REF!, C7)+COUNTIF(#REF!, C7)+COUNTIF(#REF!, C7)+COUNTIF($C$2:$C$9, C7)+COUNTIF(#REF!, C7)+COUNTIF(#REF!, C7)+COUNTIF(#REF!, C7)+COUNTIF(#REF!, C7)+COUNTIF(#REF!, C7)+COUNTIF($C$12:$C$12, C7)+COUNTIF($C$41:$C$42, C7)+COUNTIF($C$18:$C$38, C7)&gt;1,NOT(ISBLANK(C7)))</formula>
    </cfRule>
    <cfRule type="expression" dxfId="27" priority="71" stopIfTrue="1">
      <formula>AND(COUNTIF($C$93:$C$65408, C7)+COUNTIF($C$10:$C$11, C7)+COUNTIF(#REF!, C7)+COUNTIF(#REF!, C7)+COUNTIF($C$56:$C$68, C7)+COUNTIF($C$50:$C$51, C7)+COUNTIF($C$14:$C$15, C7)+COUNTIF($C$70:$C$88, C7)+COUNTIF(#REF!, C7)+COUNTIF(#REF!, C7)+COUNTIF(#REF!, C7)+COUNTIF($C$2:$C$9, C7)+COUNTIF(#REF!, C7)+COUNTIF(#REF!, C7)+COUNTIF(#REF!, C7)+COUNTIF(#REF!, C7)+COUNTIF(#REF!, C7)+COUNTIF($C$12:$C$12, C7)+COUNTIF($C$41:$C$42, C7)+COUNTIF($C$18:$C$38, C7)&gt;1,NOT(ISBLANK(C7)))</formula>
    </cfRule>
  </conditionalFormatting>
  <conditionalFormatting sqref="C11">
    <cfRule type="duplicateValues" dxfId="26" priority="22" stopIfTrue="1"/>
    <cfRule type="duplicateValues" dxfId="25" priority="23" stopIfTrue="1"/>
  </conditionalFormatting>
  <conditionalFormatting sqref="C13">
    <cfRule type="duplicateValues" dxfId="24" priority="60" stopIfTrue="1"/>
    <cfRule type="duplicateValues" dxfId="23" priority="61" stopIfTrue="1"/>
  </conditionalFormatting>
  <conditionalFormatting sqref="C16">
    <cfRule type="duplicateValues" dxfId="22" priority="32" stopIfTrue="1"/>
    <cfRule type="duplicateValues" dxfId="21" priority="33" stopIfTrue="1"/>
  </conditionalFormatting>
  <conditionalFormatting sqref="C17">
    <cfRule type="duplicateValues" dxfId="20" priority="40" stopIfTrue="1"/>
    <cfRule type="duplicateValues" dxfId="19" priority="41" stopIfTrue="1"/>
  </conditionalFormatting>
  <conditionalFormatting sqref="C30">
    <cfRule type="duplicateValues" dxfId="18" priority="30" stopIfTrue="1"/>
    <cfRule type="duplicateValues" dxfId="17" priority="31" stopIfTrue="1"/>
  </conditionalFormatting>
  <conditionalFormatting sqref="C39:C40">
    <cfRule type="duplicateValues" dxfId="16" priority="44" stopIfTrue="1"/>
    <cfRule type="duplicateValues" dxfId="15" priority="45" stopIfTrue="1"/>
  </conditionalFormatting>
  <conditionalFormatting sqref="C43">
    <cfRule type="duplicateValues" dxfId="14" priority="42" stopIfTrue="1"/>
    <cfRule type="duplicateValues" dxfId="13" priority="43" stopIfTrue="1"/>
  </conditionalFormatting>
  <conditionalFormatting sqref="C44">
    <cfRule type="duplicateValues" dxfId="12" priority="48" stopIfTrue="1"/>
    <cfRule type="duplicateValues" dxfId="11" priority="49" stopIfTrue="1"/>
  </conditionalFormatting>
  <conditionalFormatting sqref="C45">
    <cfRule type="duplicateValues" dxfId="10" priority="36" stopIfTrue="1"/>
    <cfRule type="duplicateValues" dxfId="9" priority="37" stopIfTrue="1"/>
  </conditionalFormatting>
  <conditionalFormatting sqref="C46:C49">
    <cfRule type="duplicateValues" dxfId="8" priority="26" stopIfTrue="1"/>
    <cfRule type="duplicateValues" dxfId="7" priority="27" stopIfTrue="1"/>
  </conditionalFormatting>
  <conditionalFormatting sqref="C52">
    <cfRule type="duplicateValues" dxfId="6" priority="58" stopIfTrue="1"/>
    <cfRule type="duplicateValues" dxfId="5" priority="59" stopIfTrue="1"/>
  </conditionalFormatting>
  <conditionalFormatting sqref="C53:C55">
    <cfRule type="duplicateValues" dxfId="4" priority="56" stopIfTrue="1"/>
    <cfRule type="duplicateValues" dxfId="3" priority="57" stopIfTrue="1"/>
  </conditionalFormatting>
  <conditionalFormatting sqref="C69">
    <cfRule type="duplicateValues" dxfId="2" priority="54" stopIfTrue="1"/>
    <cfRule type="duplicateValues" dxfId="1" priority="55" stopIfTrue="1"/>
  </conditionalFormatting>
  <conditionalFormatting sqref="C89:C92">
    <cfRule type="duplicateValues" dxfId="0" priority="72" stopIfTrue="1"/>
  </conditionalFormatting>
  <pageMargins left="0.31496062992125984" right="0.23622047244094491" top="0.27559055118110237" bottom="0.19685039370078741" header="0.19685039370078741" footer="0.31496062992125984"/>
  <pageSetup paperSize="9" scale="22" fitToHeight="0" orientation="landscape" verticalDpi="30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3A7279-BE8E-47F0-A670-CAC851A221CD}">
  <sheetPr>
    <tabColor rgb="FFFFC000"/>
    <pageSetUpPr fitToPage="1"/>
  </sheetPr>
  <dimension ref="A1:S79"/>
  <sheetViews>
    <sheetView zoomScaleNormal="100" zoomScaleSheetLayoutView="98" workbookViewId="0">
      <pane xSplit="2" ySplit="7" topLeftCell="C8" activePane="bottomRight" state="frozen"/>
      <selection pane="topRight" activeCell="C1" sqref="C1"/>
      <selection pane="bottomLeft" activeCell="A5" sqref="A5"/>
      <selection pane="bottomRight" activeCell="E31" sqref="E31"/>
    </sheetView>
  </sheetViews>
  <sheetFormatPr defaultRowHeight="15" x14ac:dyDescent="0.25"/>
  <cols>
    <col min="1" max="1" width="4.28515625" style="57" customWidth="1"/>
    <col min="2" max="2" width="52.7109375" style="7" customWidth="1"/>
    <col min="3" max="3" width="17.7109375" style="57" customWidth="1"/>
    <col min="4" max="4" width="65.140625" style="7" customWidth="1"/>
    <col min="5" max="5" width="19.7109375" style="7" customWidth="1"/>
    <col min="6" max="6" width="19.5703125" style="57" customWidth="1"/>
    <col min="7" max="7" width="24.5703125" style="83" bestFit="1" customWidth="1"/>
    <col min="8" max="8" width="18.140625" style="134" customWidth="1"/>
    <col min="9" max="19" width="18.140625" style="85" customWidth="1"/>
    <col min="20" max="245" width="9.140625" style="7"/>
    <col min="246" max="246" width="4.28515625" style="7" customWidth="1"/>
    <col min="247" max="247" width="52.7109375" style="7" customWidth="1"/>
    <col min="248" max="248" width="9.28515625" style="7" customWidth="1"/>
    <col min="249" max="249" width="17.7109375" style="7" customWidth="1"/>
    <col min="250" max="250" width="65.140625" style="7" customWidth="1"/>
    <col min="251" max="252" width="10.140625" style="7" customWidth="1"/>
    <col min="253" max="253" width="11.7109375" style="7" customWidth="1"/>
    <col min="254" max="254" width="13.85546875" style="7" customWidth="1"/>
    <col min="255" max="255" width="16.7109375" style="7" customWidth="1"/>
    <col min="256" max="256" width="16.5703125" style="7" customWidth="1"/>
    <col min="257" max="257" width="15.140625" style="7" customWidth="1"/>
    <col min="258" max="258" width="19.7109375" style="7" customWidth="1"/>
    <col min="259" max="259" width="19.5703125" style="7" customWidth="1"/>
    <col min="260" max="260" width="13.7109375" style="7" customWidth="1"/>
    <col min="261" max="261" width="34.42578125" style="7" customWidth="1"/>
    <col min="262" max="262" width="26.7109375" style="7" customWidth="1"/>
    <col min="263" max="263" width="15.28515625" style="7" customWidth="1"/>
    <col min="264" max="264" width="9.140625" style="7"/>
    <col min="265" max="265" width="18.28515625" style="7" customWidth="1"/>
    <col min="266" max="501" width="9.140625" style="7"/>
    <col min="502" max="502" width="4.28515625" style="7" customWidth="1"/>
    <col min="503" max="503" width="52.7109375" style="7" customWidth="1"/>
    <col min="504" max="504" width="9.28515625" style="7" customWidth="1"/>
    <col min="505" max="505" width="17.7109375" style="7" customWidth="1"/>
    <col min="506" max="506" width="65.140625" style="7" customWidth="1"/>
    <col min="507" max="508" width="10.140625" style="7" customWidth="1"/>
    <col min="509" max="509" width="11.7109375" style="7" customWidth="1"/>
    <col min="510" max="510" width="13.85546875" style="7" customWidth="1"/>
    <col min="511" max="511" width="16.7109375" style="7" customWidth="1"/>
    <col min="512" max="512" width="16.5703125" style="7" customWidth="1"/>
    <col min="513" max="513" width="15.140625" style="7" customWidth="1"/>
    <col min="514" max="514" width="19.7109375" style="7" customWidth="1"/>
    <col min="515" max="515" width="19.5703125" style="7" customWidth="1"/>
    <col min="516" max="516" width="13.7109375" style="7" customWidth="1"/>
    <col min="517" max="517" width="34.42578125" style="7" customWidth="1"/>
    <col min="518" max="518" width="26.7109375" style="7" customWidth="1"/>
    <col min="519" max="519" width="15.28515625" style="7" customWidth="1"/>
    <col min="520" max="520" width="9.140625" style="7"/>
    <col min="521" max="521" width="18.28515625" style="7" customWidth="1"/>
    <col min="522" max="757" width="9.140625" style="7"/>
    <col min="758" max="758" width="4.28515625" style="7" customWidth="1"/>
    <col min="759" max="759" width="52.7109375" style="7" customWidth="1"/>
    <col min="760" max="760" width="9.28515625" style="7" customWidth="1"/>
    <col min="761" max="761" width="17.7109375" style="7" customWidth="1"/>
    <col min="762" max="762" width="65.140625" style="7" customWidth="1"/>
    <col min="763" max="764" width="10.140625" style="7" customWidth="1"/>
    <col min="765" max="765" width="11.7109375" style="7" customWidth="1"/>
    <col min="766" max="766" width="13.85546875" style="7" customWidth="1"/>
    <col min="767" max="767" width="16.7109375" style="7" customWidth="1"/>
    <col min="768" max="768" width="16.5703125" style="7" customWidth="1"/>
    <col min="769" max="769" width="15.140625" style="7" customWidth="1"/>
    <col min="770" max="770" width="19.7109375" style="7" customWidth="1"/>
    <col min="771" max="771" width="19.5703125" style="7" customWidth="1"/>
    <col min="772" max="772" width="13.7109375" style="7" customWidth="1"/>
    <col min="773" max="773" width="34.42578125" style="7" customWidth="1"/>
    <col min="774" max="774" width="26.7109375" style="7" customWidth="1"/>
    <col min="775" max="775" width="15.28515625" style="7" customWidth="1"/>
    <col min="776" max="776" width="9.140625" style="7"/>
    <col min="777" max="777" width="18.28515625" style="7" customWidth="1"/>
    <col min="778" max="1013" width="9.140625" style="7"/>
    <col min="1014" max="1014" width="4.28515625" style="7" customWidth="1"/>
    <col min="1015" max="1015" width="52.7109375" style="7" customWidth="1"/>
    <col min="1016" max="1016" width="9.28515625" style="7" customWidth="1"/>
    <col min="1017" max="1017" width="17.7109375" style="7" customWidth="1"/>
    <col min="1018" max="1018" width="65.140625" style="7" customWidth="1"/>
    <col min="1019" max="1020" width="10.140625" style="7" customWidth="1"/>
    <col min="1021" max="1021" width="11.7109375" style="7" customWidth="1"/>
    <col min="1022" max="1022" width="13.85546875" style="7" customWidth="1"/>
    <col min="1023" max="1023" width="16.7109375" style="7" customWidth="1"/>
    <col min="1024" max="1024" width="16.5703125" style="7" customWidth="1"/>
    <col min="1025" max="1025" width="15.140625" style="7" customWidth="1"/>
    <col min="1026" max="1026" width="19.7109375" style="7" customWidth="1"/>
    <col min="1027" max="1027" width="19.5703125" style="7" customWidth="1"/>
    <col min="1028" max="1028" width="13.7109375" style="7" customWidth="1"/>
    <col min="1029" max="1029" width="34.42578125" style="7" customWidth="1"/>
    <col min="1030" max="1030" width="26.7109375" style="7" customWidth="1"/>
    <col min="1031" max="1031" width="15.28515625" style="7" customWidth="1"/>
    <col min="1032" max="1032" width="9.140625" style="7"/>
    <col min="1033" max="1033" width="18.28515625" style="7" customWidth="1"/>
    <col min="1034" max="1269" width="9.140625" style="7"/>
    <col min="1270" max="1270" width="4.28515625" style="7" customWidth="1"/>
    <col min="1271" max="1271" width="52.7109375" style="7" customWidth="1"/>
    <col min="1272" max="1272" width="9.28515625" style="7" customWidth="1"/>
    <col min="1273" max="1273" width="17.7109375" style="7" customWidth="1"/>
    <col min="1274" max="1274" width="65.140625" style="7" customWidth="1"/>
    <col min="1275" max="1276" width="10.140625" style="7" customWidth="1"/>
    <col min="1277" max="1277" width="11.7109375" style="7" customWidth="1"/>
    <col min="1278" max="1278" width="13.85546875" style="7" customWidth="1"/>
    <col min="1279" max="1279" width="16.7109375" style="7" customWidth="1"/>
    <col min="1280" max="1280" width="16.5703125" style="7" customWidth="1"/>
    <col min="1281" max="1281" width="15.140625" style="7" customWidth="1"/>
    <col min="1282" max="1282" width="19.7109375" style="7" customWidth="1"/>
    <col min="1283" max="1283" width="19.5703125" style="7" customWidth="1"/>
    <col min="1284" max="1284" width="13.7109375" style="7" customWidth="1"/>
    <col min="1285" max="1285" width="34.42578125" style="7" customWidth="1"/>
    <col min="1286" max="1286" width="26.7109375" style="7" customWidth="1"/>
    <col min="1287" max="1287" width="15.28515625" style="7" customWidth="1"/>
    <col min="1288" max="1288" width="9.140625" style="7"/>
    <col min="1289" max="1289" width="18.28515625" style="7" customWidth="1"/>
    <col min="1290" max="1525" width="9.140625" style="7"/>
    <col min="1526" max="1526" width="4.28515625" style="7" customWidth="1"/>
    <col min="1527" max="1527" width="52.7109375" style="7" customWidth="1"/>
    <col min="1528" max="1528" width="9.28515625" style="7" customWidth="1"/>
    <col min="1529" max="1529" width="17.7109375" style="7" customWidth="1"/>
    <col min="1530" max="1530" width="65.140625" style="7" customWidth="1"/>
    <col min="1531" max="1532" width="10.140625" style="7" customWidth="1"/>
    <col min="1533" max="1533" width="11.7109375" style="7" customWidth="1"/>
    <col min="1534" max="1534" width="13.85546875" style="7" customWidth="1"/>
    <col min="1535" max="1535" width="16.7109375" style="7" customWidth="1"/>
    <col min="1536" max="1536" width="16.5703125" style="7" customWidth="1"/>
    <col min="1537" max="1537" width="15.140625" style="7" customWidth="1"/>
    <col min="1538" max="1538" width="19.7109375" style="7" customWidth="1"/>
    <col min="1539" max="1539" width="19.5703125" style="7" customWidth="1"/>
    <col min="1540" max="1540" width="13.7109375" style="7" customWidth="1"/>
    <col min="1541" max="1541" width="34.42578125" style="7" customWidth="1"/>
    <col min="1542" max="1542" width="26.7109375" style="7" customWidth="1"/>
    <col min="1543" max="1543" width="15.28515625" style="7" customWidth="1"/>
    <col min="1544" max="1544" width="9.140625" style="7"/>
    <col min="1545" max="1545" width="18.28515625" style="7" customWidth="1"/>
    <col min="1546" max="1781" width="9.140625" style="7"/>
    <col min="1782" max="1782" width="4.28515625" style="7" customWidth="1"/>
    <col min="1783" max="1783" width="52.7109375" style="7" customWidth="1"/>
    <col min="1784" max="1784" width="9.28515625" style="7" customWidth="1"/>
    <col min="1785" max="1785" width="17.7109375" style="7" customWidth="1"/>
    <col min="1786" max="1786" width="65.140625" style="7" customWidth="1"/>
    <col min="1787" max="1788" width="10.140625" style="7" customWidth="1"/>
    <col min="1789" max="1789" width="11.7109375" style="7" customWidth="1"/>
    <col min="1790" max="1790" width="13.85546875" style="7" customWidth="1"/>
    <col min="1791" max="1791" width="16.7109375" style="7" customWidth="1"/>
    <col min="1792" max="1792" width="16.5703125" style="7" customWidth="1"/>
    <col min="1793" max="1793" width="15.140625" style="7" customWidth="1"/>
    <col min="1794" max="1794" width="19.7109375" style="7" customWidth="1"/>
    <col min="1795" max="1795" width="19.5703125" style="7" customWidth="1"/>
    <col min="1796" max="1796" width="13.7109375" style="7" customWidth="1"/>
    <col min="1797" max="1797" width="34.42578125" style="7" customWidth="1"/>
    <col min="1798" max="1798" width="26.7109375" style="7" customWidth="1"/>
    <col min="1799" max="1799" width="15.28515625" style="7" customWidth="1"/>
    <col min="1800" max="1800" width="9.140625" style="7"/>
    <col min="1801" max="1801" width="18.28515625" style="7" customWidth="1"/>
    <col min="1802" max="2037" width="9.140625" style="7"/>
    <col min="2038" max="2038" width="4.28515625" style="7" customWidth="1"/>
    <col min="2039" max="2039" width="52.7109375" style="7" customWidth="1"/>
    <col min="2040" max="2040" width="9.28515625" style="7" customWidth="1"/>
    <col min="2041" max="2041" width="17.7109375" style="7" customWidth="1"/>
    <col min="2042" max="2042" width="65.140625" style="7" customWidth="1"/>
    <col min="2043" max="2044" width="10.140625" style="7" customWidth="1"/>
    <col min="2045" max="2045" width="11.7109375" style="7" customWidth="1"/>
    <col min="2046" max="2046" width="13.85546875" style="7" customWidth="1"/>
    <col min="2047" max="2047" width="16.7109375" style="7" customWidth="1"/>
    <col min="2048" max="2048" width="16.5703125" style="7" customWidth="1"/>
    <col min="2049" max="2049" width="15.140625" style="7" customWidth="1"/>
    <col min="2050" max="2050" width="19.7109375" style="7" customWidth="1"/>
    <col min="2051" max="2051" width="19.5703125" style="7" customWidth="1"/>
    <col min="2052" max="2052" width="13.7109375" style="7" customWidth="1"/>
    <col min="2053" max="2053" width="34.42578125" style="7" customWidth="1"/>
    <col min="2054" max="2054" width="26.7109375" style="7" customWidth="1"/>
    <col min="2055" max="2055" width="15.28515625" style="7" customWidth="1"/>
    <col min="2056" max="2056" width="9.140625" style="7"/>
    <col min="2057" max="2057" width="18.28515625" style="7" customWidth="1"/>
    <col min="2058" max="2293" width="9.140625" style="7"/>
    <col min="2294" max="2294" width="4.28515625" style="7" customWidth="1"/>
    <col min="2295" max="2295" width="52.7109375" style="7" customWidth="1"/>
    <col min="2296" max="2296" width="9.28515625" style="7" customWidth="1"/>
    <col min="2297" max="2297" width="17.7109375" style="7" customWidth="1"/>
    <col min="2298" max="2298" width="65.140625" style="7" customWidth="1"/>
    <col min="2299" max="2300" width="10.140625" style="7" customWidth="1"/>
    <col min="2301" max="2301" width="11.7109375" style="7" customWidth="1"/>
    <col min="2302" max="2302" width="13.85546875" style="7" customWidth="1"/>
    <col min="2303" max="2303" width="16.7109375" style="7" customWidth="1"/>
    <col min="2304" max="2304" width="16.5703125" style="7" customWidth="1"/>
    <col min="2305" max="2305" width="15.140625" style="7" customWidth="1"/>
    <col min="2306" max="2306" width="19.7109375" style="7" customWidth="1"/>
    <col min="2307" max="2307" width="19.5703125" style="7" customWidth="1"/>
    <col min="2308" max="2308" width="13.7109375" style="7" customWidth="1"/>
    <col min="2309" max="2309" width="34.42578125" style="7" customWidth="1"/>
    <col min="2310" max="2310" width="26.7109375" style="7" customWidth="1"/>
    <col min="2311" max="2311" width="15.28515625" style="7" customWidth="1"/>
    <col min="2312" max="2312" width="9.140625" style="7"/>
    <col min="2313" max="2313" width="18.28515625" style="7" customWidth="1"/>
    <col min="2314" max="2549" width="9.140625" style="7"/>
    <col min="2550" max="2550" width="4.28515625" style="7" customWidth="1"/>
    <col min="2551" max="2551" width="52.7109375" style="7" customWidth="1"/>
    <col min="2552" max="2552" width="9.28515625" style="7" customWidth="1"/>
    <col min="2553" max="2553" width="17.7109375" style="7" customWidth="1"/>
    <col min="2554" max="2554" width="65.140625" style="7" customWidth="1"/>
    <col min="2555" max="2556" width="10.140625" style="7" customWidth="1"/>
    <col min="2557" max="2557" width="11.7109375" style="7" customWidth="1"/>
    <col min="2558" max="2558" width="13.85546875" style="7" customWidth="1"/>
    <col min="2559" max="2559" width="16.7109375" style="7" customWidth="1"/>
    <col min="2560" max="2560" width="16.5703125" style="7" customWidth="1"/>
    <col min="2561" max="2561" width="15.140625" style="7" customWidth="1"/>
    <col min="2562" max="2562" width="19.7109375" style="7" customWidth="1"/>
    <col min="2563" max="2563" width="19.5703125" style="7" customWidth="1"/>
    <col min="2564" max="2564" width="13.7109375" style="7" customWidth="1"/>
    <col min="2565" max="2565" width="34.42578125" style="7" customWidth="1"/>
    <col min="2566" max="2566" width="26.7109375" style="7" customWidth="1"/>
    <col min="2567" max="2567" width="15.28515625" style="7" customWidth="1"/>
    <col min="2568" max="2568" width="9.140625" style="7"/>
    <col min="2569" max="2569" width="18.28515625" style="7" customWidth="1"/>
    <col min="2570" max="2805" width="9.140625" style="7"/>
    <col min="2806" max="2806" width="4.28515625" style="7" customWidth="1"/>
    <col min="2807" max="2807" width="52.7109375" style="7" customWidth="1"/>
    <col min="2808" max="2808" width="9.28515625" style="7" customWidth="1"/>
    <col min="2809" max="2809" width="17.7109375" style="7" customWidth="1"/>
    <col min="2810" max="2810" width="65.140625" style="7" customWidth="1"/>
    <col min="2811" max="2812" width="10.140625" style="7" customWidth="1"/>
    <col min="2813" max="2813" width="11.7109375" style="7" customWidth="1"/>
    <col min="2814" max="2814" width="13.85546875" style="7" customWidth="1"/>
    <col min="2815" max="2815" width="16.7109375" style="7" customWidth="1"/>
    <col min="2816" max="2816" width="16.5703125" style="7" customWidth="1"/>
    <col min="2817" max="2817" width="15.140625" style="7" customWidth="1"/>
    <col min="2818" max="2818" width="19.7109375" style="7" customWidth="1"/>
    <col min="2819" max="2819" width="19.5703125" style="7" customWidth="1"/>
    <col min="2820" max="2820" width="13.7109375" style="7" customWidth="1"/>
    <col min="2821" max="2821" width="34.42578125" style="7" customWidth="1"/>
    <col min="2822" max="2822" width="26.7109375" style="7" customWidth="1"/>
    <col min="2823" max="2823" width="15.28515625" style="7" customWidth="1"/>
    <col min="2824" max="2824" width="9.140625" style="7"/>
    <col min="2825" max="2825" width="18.28515625" style="7" customWidth="1"/>
    <col min="2826" max="3061" width="9.140625" style="7"/>
    <col min="3062" max="3062" width="4.28515625" style="7" customWidth="1"/>
    <col min="3063" max="3063" width="52.7109375" style="7" customWidth="1"/>
    <col min="3064" max="3064" width="9.28515625" style="7" customWidth="1"/>
    <col min="3065" max="3065" width="17.7109375" style="7" customWidth="1"/>
    <col min="3066" max="3066" width="65.140625" style="7" customWidth="1"/>
    <col min="3067" max="3068" width="10.140625" style="7" customWidth="1"/>
    <col min="3069" max="3069" width="11.7109375" style="7" customWidth="1"/>
    <col min="3070" max="3070" width="13.85546875" style="7" customWidth="1"/>
    <col min="3071" max="3071" width="16.7109375" style="7" customWidth="1"/>
    <col min="3072" max="3072" width="16.5703125" style="7" customWidth="1"/>
    <col min="3073" max="3073" width="15.140625" style="7" customWidth="1"/>
    <col min="3074" max="3074" width="19.7109375" style="7" customWidth="1"/>
    <col min="3075" max="3075" width="19.5703125" style="7" customWidth="1"/>
    <col min="3076" max="3076" width="13.7109375" style="7" customWidth="1"/>
    <col min="3077" max="3077" width="34.42578125" style="7" customWidth="1"/>
    <col min="3078" max="3078" width="26.7109375" style="7" customWidth="1"/>
    <col min="3079" max="3079" width="15.28515625" style="7" customWidth="1"/>
    <col min="3080" max="3080" width="9.140625" style="7"/>
    <col min="3081" max="3081" width="18.28515625" style="7" customWidth="1"/>
    <col min="3082" max="3317" width="9.140625" style="7"/>
    <col min="3318" max="3318" width="4.28515625" style="7" customWidth="1"/>
    <col min="3319" max="3319" width="52.7109375" style="7" customWidth="1"/>
    <col min="3320" max="3320" width="9.28515625" style="7" customWidth="1"/>
    <col min="3321" max="3321" width="17.7109375" style="7" customWidth="1"/>
    <col min="3322" max="3322" width="65.140625" style="7" customWidth="1"/>
    <col min="3323" max="3324" width="10.140625" style="7" customWidth="1"/>
    <col min="3325" max="3325" width="11.7109375" style="7" customWidth="1"/>
    <col min="3326" max="3326" width="13.85546875" style="7" customWidth="1"/>
    <col min="3327" max="3327" width="16.7109375" style="7" customWidth="1"/>
    <col min="3328" max="3328" width="16.5703125" style="7" customWidth="1"/>
    <col min="3329" max="3329" width="15.140625" style="7" customWidth="1"/>
    <col min="3330" max="3330" width="19.7109375" style="7" customWidth="1"/>
    <col min="3331" max="3331" width="19.5703125" style="7" customWidth="1"/>
    <col min="3332" max="3332" width="13.7109375" style="7" customWidth="1"/>
    <col min="3333" max="3333" width="34.42578125" style="7" customWidth="1"/>
    <col min="3334" max="3334" width="26.7109375" style="7" customWidth="1"/>
    <col min="3335" max="3335" width="15.28515625" style="7" customWidth="1"/>
    <col min="3336" max="3336" width="9.140625" style="7"/>
    <col min="3337" max="3337" width="18.28515625" style="7" customWidth="1"/>
    <col min="3338" max="3573" width="9.140625" style="7"/>
    <col min="3574" max="3574" width="4.28515625" style="7" customWidth="1"/>
    <col min="3575" max="3575" width="52.7109375" style="7" customWidth="1"/>
    <col min="3576" max="3576" width="9.28515625" style="7" customWidth="1"/>
    <col min="3577" max="3577" width="17.7109375" style="7" customWidth="1"/>
    <col min="3578" max="3578" width="65.140625" style="7" customWidth="1"/>
    <col min="3579" max="3580" width="10.140625" style="7" customWidth="1"/>
    <col min="3581" max="3581" width="11.7109375" style="7" customWidth="1"/>
    <col min="3582" max="3582" width="13.85546875" style="7" customWidth="1"/>
    <col min="3583" max="3583" width="16.7109375" style="7" customWidth="1"/>
    <col min="3584" max="3584" width="16.5703125" style="7" customWidth="1"/>
    <col min="3585" max="3585" width="15.140625" style="7" customWidth="1"/>
    <col min="3586" max="3586" width="19.7109375" style="7" customWidth="1"/>
    <col min="3587" max="3587" width="19.5703125" style="7" customWidth="1"/>
    <col min="3588" max="3588" width="13.7109375" style="7" customWidth="1"/>
    <col min="3589" max="3589" width="34.42578125" style="7" customWidth="1"/>
    <col min="3590" max="3590" width="26.7109375" style="7" customWidth="1"/>
    <col min="3591" max="3591" width="15.28515625" style="7" customWidth="1"/>
    <col min="3592" max="3592" width="9.140625" style="7"/>
    <col min="3593" max="3593" width="18.28515625" style="7" customWidth="1"/>
    <col min="3594" max="3829" width="9.140625" style="7"/>
    <col min="3830" max="3830" width="4.28515625" style="7" customWidth="1"/>
    <col min="3831" max="3831" width="52.7109375" style="7" customWidth="1"/>
    <col min="3832" max="3832" width="9.28515625" style="7" customWidth="1"/>
    <col min="3833" max="3833" width="17.7109375" style="7" customWidth="1"/>
    <col min="3834" max="3834" width="65.140625" style="7" customWidth="1"/>
    <col min="3835" max="3836" width="10.140625" style="7" customWidth="1"/>
    <col min="3837" max="3837" width="11.7109375" style="7" customWidth="1"/>
    <col min="3838" max="3838" width="13.85546875" style="7" customWidth="1"/>
    <col min="3839" max="3839" width="16.7109375" style="7" customWidth="1"/>
    <col min="3840" max="3840" width="16.5703125" style="7" customWidth="1"/>
    <col min="3841" max="3841" width="15.140625" style="7" customWidth="1"/>
    <col min="3842" max="3842" width="19.7109375" style="7" customWidth="1"/>
    <col min="3843" max="3843" width="19.5703125" style="7" customWidth="1"/>
    <col min="3844" max="3844" width="13.7109375" style="7" customWidth="1"/>
    <col min="3845" max="3845" width="34.42578125" style="7" customWidth="1"/>
    <col min="3846" max="3846" width="26.7109375" style="7" customWidth="1"/>
    <col min="3847" max="3847" width="15.28515625" style="7" customWidth="1"/>
    <col min="3848" max="3848" width="9.140625" style="7"/>
    <col min="3849" max="3849" width="18.28515625" style="7" customWidth="1"/>
    <col min="3850" max="4085" width="9.140625" style="7"/>
    <col min="4086" max="4086" width="4.28515625" style="7" customWidth="1"/>
    <col min="4087" max="4087" width="52.7109375" style="7" customWidth="1"/>
    <col min="4088" max="4088" width="9.28515625" style="7" customWidth="1"/>
    <col min="4089" max="4089" width="17.7109375" style="7" customWidth="1"/>
    <col min="4090" max="4090" width="65.140625" style="7" customWidth="1"/>
    <col min="4091" max="4092" width="10.140625" style="7" customWidth="1"/>
    <col min="4093" max="4093" width="11.7109375" style="7" customWidth="1"/>
    <col min="4094" max="4094" width="13.85546875" style="7" customWidth="1"/>
    <col min="4095" max="4095" width="16.7109375" style="7" customWidth="1"/>
    <col min="4096" max="4096" width="16.5703125" style="7" customWidth="1"/>
    <col min="4097" max="4097" width="15.140625" style="7" customWidth="1"/>
    <col min="4098" max="4098" width="19.7109375" style="7" customWidth="1"/>
    <col min="4099" max="4099" width="19.5703125" style="7" customWidth="1"/>
    <col min="4100" max="4100" width="13.7109375" style="7" customWidth="1"/>
    <col min="4101" max="4101" width="34.42578125" style="7" customWidth="1"/>
    <col min="4102" max="4102" width="26.7109375" style="7" customWidth="1"/>
    <col min="4103" max="4103" width="15.28515625" style="7" customWidth="1"/>
    <col min="4104" max="4104" width="9.140625" style="7"/>
    <col min="4105" max="4105" width="18.28515625" style="7" customWidth="1"/>
    <col min="4106" max="4341" width="9.140625" style="7"/>
    <col min="4342" max="4342" width="4.28515625" style="7" customWidth="1"/>
    <col min="4343" max="4343" width="52.7109375" style="7" customWidth="1"/>
    <col min="4344" max="4344" width="9.28515625" style="7" customWidth="1"/>
    <col min="4345" max="4345" width="17.7109375" style="7" customWidth="1"/>
    <col min="4346" max="4346" width="65.140625" style="7" customWidth="1"/>
    <col min="4347" max="4348" width="10.140625" style="7" customWidth="1"/>
    <col min="4349" max="4349" width="11.7109375" style="7" customWidth="1"/>
    <col min="4350" max="4350" width="13.85546875" style="7" customWidth="1"/>
    <col min="4351" max="4351" width="16.7109375" style="7" customWidth="1"/>
    <col min="4352" max="4352" width="16.5703125" style="7" customWidth="1"/>
    <col min="4353" max="4353" width="15.140625" style="7" customWidth="1"/>
    <col min="4354" max="4354" width="19.7109375" style="7" customWidth="1"/>
    <col min="4355" max="4355" width="19.5703125" style="7" customWidth="1"/>
    <col min="4356" max="4356" width="13.7109375" style="7" customWidth="1"/>
    <col min="4357" max="4357" width="34.42578125" style="7" customWidth="1"/>
    <col min="4358" max="4358" width="26.7109375" style="7" customWidth="1"/>
    <col min="4359" max="4359" width="15.28515625" style="7" customWidth="1"/>
    <col min="4360" max="4360" width="9.140625" style="7"/>
    <col min="4361" max="4361" width="18.28515625" style="7" customWidth="1"/>
    <col min="4362" max="4597" width="9.140625" style="7"/>
    <col min="4598" max="4598" width="4.28515625" style="7" customWidth="1"/>
    <col min="4599" max="4599" width="52.7109375" style="7" customWidth="1"/>
    <col min="4600" max="4600" width="9.28515625" style="7" customWidth="1"/>
    <col min="4601" max="4601" width="17.7109375" style="7" customWidth="1"/>
    <col min="4602" max="4602" width="65.140625" style="7" customWidth="1"/>
    <col min="4603" max="4604" width="10.140625" style="7" customWidth="1"/>
    <col min="4605" max="4605" width="11.7109375" style="7" customWidth="1"/>
    <col min="4606" max="4606" width="13.85546875" style="7" customWidth="1"/>
    <col min="4607" max="4607" width="16.7109375" style="7" customWidth="1"/>
    <col min="4608" max="4608" width="16.5703125" style="7" customWidth="1"/>
    <col min="4609" max="4609" width="15.140625" style="7" customWidth="1"/>
    <col min="4610" max="4610" width="19.7109375" style="7" customWidth="1"/>
    <col min="4611" max="4611" width="19.5703125" style="7" customWidth="1"/>
    <col min="4612" max="4612" width="13.7109375" style="7" customWidth="1"/>
    <col min="4613" max="4613" width="34.42578125" style="7" customWidth="1"/>
    <col min="4614" max="4614" width="26.7109375" style="7" customWidth="1"/>
    <col min="4615" max="4615" width="15.28515625" style="7" customWidth="1"/>
    <col min="4616" max="4616" width="9.140625" style="7"/>
    <col min="4617" max="4617" width="18.28515625" style="7" customWidth="1"/>
    <col min="4618" max="4853" width="9.140625" style="7"/>
    <col min="4854" max="4854" width="4.28515625" style="7" customWidth="1"/>
    <col min="4855" max="4855" width="52.7109375" style="7" customWidth="1"/>
    <col min="4856" max="4856" width="9.28515625" style="7" customWidth="1"/>
    <col min="4857" max="4857" width="17.7109375" style="7" customWidth="1"/>
    <col min="4858" max="4858" width="65.140625" style="7" customWidth="1"/>
    <col min="4859" max="4860" width="10.140625" style="7" customWidth="1"/>
    <col min="4861" max="4861" width="11.7109375" style="7" customWidth="1"/>
    <col min="4862" max="4862" width="13.85546875" style="7" customWidth="1"/>
    <col min="4863" max="4863" width="16.7109375" style="7" customWidth="1"/>
    <col min="4864" max="4864" width="16.5703125" style="7" customWidth="1"/>
    <col min="4865" max="4865" width="15.140625" style="7" customWidth="1"/>
    <col min="4866" max="4866" width="19.7109375" style="7" customWidth="1"/>
    <col min="4867" max="4867" width="19.5703125" style="7" customWidth="1"/>
    <col min="4868" max="4868" width="13.7109375" style="7" customWidth="1"/>
    <col min="4869" max="4869" width="34.42578125" style="7" customWidth="1"/>
    <col min="4870" max="4870" width="26.7109375" style="7" customWidth="1"/>
    <col min="4871" max="4871" width="15.28515625" style="7" customWidth="1"/>
    <col min="4872" max="4872" width="9.140625" style="7"/>
    <col min="4873" max="4873" width="18.28515625" style="7" customWidth="1"/>
    <col min="4874" max="5109" width="9.140625" style="7"/>
    <col min="5110" max="5110" width="4.28515625" style="7" customWidth="1"/>
    <col min="5111" max="5111" width="52.7109375" style="7" customWidth="1"/>
    <col min="5112" max="5112" width="9.28515625" style="7" customWidth="1"/>
    <col min="5113" max="5113" width="17.7109375" style="7" customWidth="1"/>
    <col min="5114" max="5114" width="65.140625" style="7" customWidth="1"/>
    <col min="5115" max="5116" width="10.140625" style="7" customWidth="1"/>
    <col min="5117" max="5117" width="11.7109375" style="7" customWidth="1"/>
    <col min="5118" max="5118" width="13.85546875" style="7" customWidth="1"/>
    <col min="5119" max="5119" width="16.7109375" style="7" customWidth="1"/>
    <col min="5120" max="5120" width="16.5703125" style="7" customWidth="1"/>
    <col min="5121" max="5121" width="15.140625" style="7" customWidth="1"/>
    <col min="5122" max="5122" width="19.7109375" style="7" customWidth="1"/>
    <col min="5123" max="5123" width="19.5703125" style="7" customWidth="1"/>
    <col min="5124" max="5124" width="13.7109375" style="7" customWidth="1"/>
    <col min="5125" max="5125" width="34.42578125" style="7" customWidth="1"/>
    <col min="5126" max="5126" width="26.7109375" style="7" customWidth="1"/>
    <col min="5127" max="5127" width="15.28515625" style="7" customWidth="1"/>
    <col min="5128" max="5128" width="9.140625" style="7"/>
    <col min="5129" max="5129" width="18.28515625" style="7" customWidth="1"/>
    <col min="5130" max="5365" width="9.140625" style="7"/>
    <col min="5366" max="5366" width="4.28515625" style="7" customWidth="1"/>
    <col min="5367" max="5367" width="52.7109375" style="7" customWidth="1"/>
    <col min="5368" max="5368" width="9.28515625" style="7" customWidth="1"/>
    <col min="5369" max="5369" width="17.7109375" style="7" customWidth="1"/>
    <col min="5370" max="5370" width="65.140625" style="7" customWidth="1"/>
    <col min="5371" max="5372" width="10.140625" style="7" customWidth="1"/>
    <col min="5373" max="5373" width="11.7109375" style="7" customWidth="1"/>
    <col min="5374" max="5374" width="13.85546875" style="7" customWidth="1"/>
    <col min="5375" max="5375" width="16.7109375" style="7" customWidth="1"/>
    <col min="5376" max="5376" width="16.5703125" style="7" customWidth="1"/>
    <col min="5377" max="5377" width="15.140625" style="7" customWidth="1"/>
    <col min="5378" max="5378" width="19.7109375" style="7" customWidth="1"/>
    <col min="5379" max="5379" width="19.5703125" style="7" customWidth="1"/>
    <col min="5380" max="5380" width="13.7109375" style="7" customWidth="1"/>
    <col min="5381" max="5381" width="34.42578125" style="7" customWidth="1"/>
    <col min="5382" max="5382" width="26.7109375" style="7" customWidth="1"/>
    <col min="5383" max="5383" width="15.28515625" style="7" customWidth="1"/>
    <col min="5384" max="5384" width="9.140625" style="7"/>
    <col min="5385" max="5385" width="18.28515625" style="7" customWidth="1"/>
    <col min="5386" max="5621" width="9.140625" style="7"/>
    <col min="5622" max="5622" width="4.28515625" style="7" customWidth="1"/>
    <col min="5623" max="5623" width="52.7109375" style="7" customWidth="1"/>
    <col min="5624" max="5624" width="9.28515625" style="7" customWidth="1"/>
    <col min="5625" max="5625" width="17.7109375" style="7" customWidth="1"/>
    <col min="5626" max="5626" width="65.140625" style="7" customWidth="1"/>
    <col min="5627" max="5628" width="10.140625" style="7" customWidth="1"/>
    <col min="5629" max="5629" width="11.7109375" style="7" customWidth="1"/>
    <col min="5630" max="5630" width="13.85546875" style="7" customWidth="1"/>
    <col min="5631" max="5631" width="16.7109375" style="7" customWidth="1"/>
    <col min="5632" max="5632" width="16.5703125" style="7" customWidth="1"/>
    <col min="5633" max="5633" width="15.140625" style="7" customWidth="1"/>
    <col min="5634" max="5634" width="19.7109375" style="7" customWidth="1"/>
    <col min="5635" max="5635" width="19.5703125" style="7" customWidth="1"/>
    <col min="5636" max="5636" width="13.7109375" style="7" customWidth="1"/>
    <col min="5637" max="5637" width="34.42578125" style="7" customWidth="1"/>
    <col min="5638" max="5638" width="26.7109375" style="7" customWidth="1"/>
    <col min="5639" max="5639" width="15.28515625" style="7" customWidth="1"/>
    <col min="5640" max="5640" width="9.140625" style="7"/>
    <col min="5641" max="5641" width="18.28515625" style="7" customWidth="1"/>
    <col min="5642" max="5877" width="9.140625" style="7"/>
    <col min="5878" max="5878" width="4.28515625" style="7" customWidth="1"/>
    <col min="5879" max="5879" width="52.7109375" style="7" customWidth="1"/>
    <col min="5880" max="5880" width="9.28515625" style="7" customWidth="1"/>
    <col min="5881" max="5881" width="17.7109375" style="7" customWidth="1"/>
    <col min="5882" max="5882" width="65.140625" style="7" customWidth="1"/>
    <col min="5883" max="5884" width="10.140625" style="7" customWidth="1"/>
    <col min="5885" max="5885" width="11.7109375" style="7" customWidth="1"/>
    <col min="5886" max="5886" width="13.85546875" style="7" customWidth="1"/>
    <col min="5887" max="5887" width="16.7109375" style="7" customWidth="1"/>
    <col min="5888" max="5888" width="16.5703125" style="7" customWidth="1"/>
    <col min="5889" max="5889" width="15.140625" style="7" customWidth="1"/>
    <col min="5890" max="5890" width="19.7109375" style="7" customWidth="1"/>
    <col min="5891" max="5891" width="19.5703125" style="7" customWidth="1"/>
    <col min="5892" max="5892" width="13.7109375" style="7" customWidth="1"/>
    <col min="5893" max="5893" width="34.42578125" style="7" customWidth="1"/>
    <col min="5894" max="5894" width="26.7109375" style="7" customWidth="1"/>
    <col min="5895" max="5895" width="15.28515625" style="7" customWidth="1"/>
    <col min="5896" max="5896" width="9.140625" style="7"/>
    <col min="5897" max="5897" width="18.28515625" style="7" customWidth="1"/>
    <col min="5898" max="6133" width="9.140625" style="7"/>
    <col min="6134" max="6134" width="4.28515625" style="7" customWidth="1"/>
    <col min="6135" max="6135" width="52.7109375" style="7" customWidth="1"/>
    <col min="6136" max="6136" width="9.28515625" style="7" customWidth="1"/>
    <col min="6137" max="6137" width="17.7109375" style="7" customWidth="1"/>
    <col min="6138" max="6138" width="65.140625" style="7" customWidth="1"/>
    <col min="6139" max="6140" width="10.140625" style="7" customWidth="1"/>
    <col min="6141" max="6141" width="11.7109375" style="7" customWidth="1"/>
    <col min="6142" max="6142" width="13.85546875" style="7" customWidth="1"/>
    <col min="6143" max="6143" width="16.7109375" style="7" customWidth="1"/>
    <col min="6144" max="6144" width="16.5703125" style="7" customWidth="1"/>
    <col min="6145" max="6145" width="15.140625" style="7" customWidth="1"/>
    <col min="6146" max="6146" width="19.7109375" style="7" customWidth="1"/>
    <col min="6147" max="6147" width="19.5703125" style="7" customWidth="1"/>
    <col min="6148" max="6148" width="13.7109375" style="7" customWidth="1"/>
    <col min="6149" max="6149" width="34.42578125" style="7" customWidth="1"/>
    <col min="6150" max="6150" width="26.7109375" style="7" customWidth="1"/>
    <col min="6151" max="6151" width="15.28515625" style="7" customWidth="1"/>
    <col min="6152" max="6152" width="9.140625" style="7"/>
    <col min="6153" max="6153" width="18.28515625" style="7" customWidth="1"/>
    <col min="6154" max="6389" width="9.140625" style="7"/>
    <col min="6390" max="6390" width="4.28515625" style="7" customWidth="1"/>
    <col min="6391" max="6391" width="52.7109375" style="7" customWidth="1"/>
    <col min="6392" max="6392" width="9.28515625" style="7" customWidth="1"/>
    <col min="6393" max="6393" width="17.7109375" style="7" customWidth="1"/>
    <col min="6394" max="6394" width="65.140625" style="7" customWidth="1"/>
    <col min="6395" max="6396" width="10.140625" style="7" customWidth="1"/>
    <col min="6397" max="6397" width="11.7109375" style="7" customWidth="1"/>
    <col min="6398" max="6398" width="13.85546875" style="7" customWidth="1"/>
    <col min="6399" max="6399" width="16.7109375" style="7" customWidth="1"/>
    <col min="6400" max="6400" width="16.5703125" style="7" customWidth="1"/>
    <col min="6401" max="6401" width="15.140625" style="7" customWidth="1"/>
    <col min="6402" max="6402" width="19.7109375" style="7" customWidth="1"/>
    <col min="6403" max="6403" width="19.5703125" style="7" customWidth="1"/>
    <col min="6404" max="6404" width="13.7109375" style="7" customWidth="1"/>
    <col min="6405" max="6405" width="34.42578125" style="7" customWidth="1"/>
    <col min="6406" max="6406" width="26.7109375" style="7" customWidth="1"/>
    <col min="6407" max="6407" width="15.28515625" style="7" customWidth="1"/>
    <col min="6408" max="6408" width="9.140625" style="7"/>
    <col min="6409" max="6409" width="18.28515625" style="7" customWidth="1"/>
    <col min="6410" max="6645" width="9.140625" style="7"/>
    <col min="6646" max="6646" width="4.28515625" style="7" customWidth="1"/>
    <col min="6647" max="6647" width="52.7109375" style="7" customWidth="1"/>
    <col min="6648" max="6648" width="9.28515625" style="7" customWidth="1"/>
    <col min="6649" max="6649" width="17.7109375" style="7" customWidth="1"/>
    <col min="6650" max="6650" width="65.140625" style="7" customWidth="1"/>
    <col min="6651" max="6652" width="10.140625" style="7" customWidth="1"/>
    <col min="6653" max="6653" width="11.7109375" style="7" customWidth="1"/>
    <col min="6654" max="6654" width="13.85546875" style="7" customWidth="1"/>
    <col min="6655" max="6655" width="16.7109375" style="7" customWidth="1"/>
    <col min="6656" max="6656" width="16.5703125" style="7" customWidth="1"/>
    <col min="6657" max="6657" width="15.140625" style="7" customWidth="1"/>
    <col min="6658" max="6658" width="19.7109375" style="7" customWidth="1"/>
    <col min="6659" max="6659" width="19.5703125" style="7" customWidth="1"/>
    <col min="6660" max="6660" width="13.7109375" style="7" customWidth="1"/>
    <col min="6661" max="6661" width="34.42578125" style="7" customWidth="1"/>
    <col min="6662" max="6662" width="26.7109375" style="7" customWidth="1"/>
    <col min="6663" max="6663" width="15.28515625" style="7" customWidth="1"/>
    <col min="6664" max="6664" width="9.140625" style="7"/>
    <col min="6665" max="6665" width="18.28515625" style="7" customWidth="1"/>
    <col min="6666" max="6901" width="9.140625" style="7"/>
    <col min="6902" max="6902" width="4.28515625" style="7" customWidth="1"/>
    <col min="6903" max="6903" width="52.7109375" style="7" customWidth="1"/>
    <col min="6904" max="6904" width="9.28515625" style="7" customWidth="1"/>
    <col min="6905" max="6905" width="17.7109375" style="7" customWidth="1"/>
    <col min="6906" max="6906" width="65.140625" style="7" customWidth="1"/>
    <col min="6907" max="6908" width="10.140625" style="7" customWidth="1"/>
    <col min="6909" max="6909" width="11.7109375" style="7" customWidth="1"/>
    <col min="6910" max="6910" width="13.85546875" style="7" customWidth="1"/>
    <col min="6911" max="6911" width="16.7109375" style="7" customWidth="1"/>
    <col min="6912" max="6912" width="16.5703125" style="7" customWidth="1"/>
    <col min="6913" max="6913" width="15.140625" style="7" customWidth="1"/>
    <col min="6914" max="6914" width="19.7109375" style="7" customWidth="1"/>
    <col min="6915" max="6915" width="19.5703125" style="7" customWidth="1"/>
    <col min="6916" max="6916" width="13.7109375" style="7" customWidth="1"/>
    <col min="6917" max="6917" width="34.42578125" style="7" customWidth="1"/>
    <col min="6918" max="6918" width="26.7109375" style="7" customWidth="1"/>
    <col min="6919" max="6919" width="15.28515625" style="7" customWidth="1"/>
    <col min="6920" max="6920" width="9.140625" style="7"/>
    <col min="6921" max="6921" width="18.28515625" style="7" customWidth="1"/>
    <col min="6922" max="7157" width="9.140625" style="7"/>
    <col min="7158" max="7158" width="4.28515625" style="7" customWidth="1"/>
    <col min="7159" max="7159" width="52.7109375" style="7" customWidth="1"/>
    <col min="7160" max="7160" width="9.28515625" style="7" customWidth="1"/>
    <col min="7161" max="7161" width="17.7109375" style="7" customWidth="1"/>
    <col min="7162" max="7162" width="65.140625" style="7" customWidth="1"/>
    <col min="7163" max="7164" width="10.140625" style="7" customWidth="1"/>
    <col min="7165" max="7165" width="11.7109375" style="7" customWidth="1"/>
    <col min="7166" max="7166" width="13.85546875" style="7" customWidth="1"/>
    <col min="7167" max="7167" width="16.7109375" style="7" customWidth="1"/>
    <col min="7168" max="7168" width="16.5703125" style="7" customWidth="1"/>
    <col min="7169" max="7169" width="15.140625" style="7" customWidth="1"/>
    <col min="7170" max="7170" width="19.7109375" style="7" customWidth="1"/>
    <col min="7171" max="7171" width="19.5703125" style="7" customWidth="1"/>
    <col min="7172" max="7172" width="13.7109375" style="7" customWidth="1"/>
    <col min="7173" max="7173" width="34.42578125" style="7" customWidth="1"/>
    <col min="7174" max="7174" width="26.7109375" style="7" customWidth="1"/>
    <col min="7175" max="7175" width="15.28515625" style="7" customWidth="1"/>
    <col min="7176" max="7176" width="9.140625" style="7"/>
    <col min="7177" max="7177" width="18.28515625" style="7" customWidth="1"/>
    <col min="7178" max="7413" width="9.140625" style="7"/>
    <col min="7414" max="7414" width="4.28515625" style="7" customWidth="1"/>
    <col min="7415" max="7415" width="52.7109375" style="7" customWidth="1"/>
    <col min="7416" max="7416" width="9.28515625" style="7" customWidth="1"/>
    <col min="7417" max="7417" width="17.7109375" style="7" customWidth="1"/>
    <col min="7418" max="7418" width="65.140625" style="7" customWidth="1"/>
    <col min="7419" max="7420" width="10.140625" style="7" customWidth="1"/>
    <col min="7421" max="7421" width="11.7109375" style="7" customWidth="1"/>
    <col min="7422" max="7422" width="13.85546875" style="7" customWidth="1"/>
    <col min="7423" max="7423" width="16.7109375" style="7" customWidth="1"/>
    <col min="7424" max="7424" width="16.5703125" style="7" customWidth="1"/>
    <col min="7425" max="7425" width="15.140625" style="7" customWidth="1"/>
    <col min="7426" max="7426" width="19.7109375" style="7" customWidth="1"/>
    <col min="7427" max="7427" width="19.5703125" style="7" customWidth="1"/>
    <col min="7428" max="7428" width="13.7109375" style="7" customWidth="1"/>
    <col min="7429" max="7429" width="34.42578125" style="7" customWidth="1"/>
    <col min="7430" max="7430" width="26.7109375" style="7" customWidth="1"/>
    <col min="7431" max="7431" width="15.28515625" style="7" customWidth="1"/>
    <col min="7432" max="7432" width="9.140625" style="7"/>
    <col min="7433" max="7433" width="18.28515625" style="7" customWidth="1"/>
    <col min="7434" max="7669" width="9.140625" style="7"/>
    <col min="7670" max="7670" width="4.28515625" style="7" customWidth="1"/>
    <col min="7671" max="7671" width="52.7109375" style="7" customWidth="1"/>
    <col min="7672" max="7672" width="9.28515625" style="7" customWidth="1"/>
    <col min="7673" max="7673" width="17.7109375" style="7" customWidth="1"/>
    <col min="7674" max="7674" width="65.140625" style="7" customWidth="1"/>
    <col min="7675" max="7676" width="10.140625" style="7" customWidth="1"/>
    <col min="7677" max="7677" width="11.7109375" style="7" customWidth="1"/>
    <col min="7678" max="7678" width="13.85546875" style="7" customWidth="1"/>
    <col min="7679" max="7679" width="16.7109375" style="7" customWidth="1"/>
    <col min="7680" max="7680" width="16.5703125" style="7" customWidth="1"/>
    <col min="7681" max="7681" width="15.140625" style="7" customWidth="1"/>
    <col min="7682" max="7682" width="19.7109375" style="7" customWidth="1"/>
    <col min="7683" max="7683" width="19.5703125" style="7" customWidth="1"/>
    <col min="7684" max="7684" width="13.7109375" style="7" customWidth="1"/>
    <col min="7685" max="7685" width="34.42578125" style="7" customWidth="1"/>
    <col min="7686" max="7686" width="26.7109375" style="7" customWidth="1"/>
    <col min="7687" max="7687" width="15.28515625" style="7" customWidth="1"/>
    <col min="7688" max="7688" width="9.140625" style="7"/>
    <col min="7689" max="7689" width="18.28515625" style="7" customWidth="1"/>
    <col min="7690" max="7925" width="9.140625" style="7"/>
    <col min="7926" max="7926" width="4.28515625" style="7" customWidth="1"/>
    <col min="7927" max="7927" width="52.7109375" style="7" customWidth="1"/>
    <col min="7928" max="7928" width="9.28515625" style="7" customWidth="1"/>
    <col min="7929" max="7929" width="17.7109375" style="7" customWidth="1"/>
    <col min="7930" max="7930" width="65.140625" style="7" customWidth="1"/>
    <col min="7931" max="7932" width="10.140625" style="7" customWidth="1"/>
    <col min="7933" max="7933" width="11.7109375" style="7" customWidth="1"/>
    <col min="7934" max="7934" width="13.85546875" style="7" customWidth="1"/>
    <col min="7935" max="7935" width="16.7109375" style="7" customWidth="1"/>
    <col min="7936" max="7936" width="16.5703125" style="7" customWidth="1"/>
    <col min="7937" max="7937" width="15.140625" style="7" customWidth="1"/>
    <col min="7938" max="7938" width="19.7109375" style="7" customWidth="1"/>
    <col min="7939" max="7939" width="19.5703125" style="7" customWidth="1"/>
    <col min="7940" max="7940" width="13.7109375" style="7" customWidth="1"/>
    <col min="7941" max="7941" width="34.42578125" style="7" customWidth="1"/>
    <col min="7942" max="7942" width="26.7109375" style="7" customWidth="1"/>
    <col min="7943" max="7943" width="15.28515625" style="7" customWidth="1"/>
    <col min="7944" max="7944" width="9.140625" style="7"/>
    <col min="7945" max="7945" width="18.28515625" style="7" customWidth="1"/>
    <col min="7946" max="8181" width="9.140625" style="7"/>
    <col min="8182" max="8182" width="4.28515625" style="7" customWidth="1"/>
    <col min="8183" max="8183" width="52.7109375" style="7" customWidth="1"/>
    <col min="8184" max="8184" width="9.28515625" style="7" customWidth="1"/>
    <col min="8185" max="8185" width="17.7109375" style="7" customWidth="1"/>
    <col min="8186" max="8186" width="65.140625" style="7" customWidth="1"/>
    <col min="8187" max="8188" width="10.140625" style="7" customWidth="1"/>
    <col min="8189" max="8189" width="11.7109375" style="7" customWidth="1"/>
    <col min="8190" max="8190" width="13.85546875" style="7" customWidth="1"/>
    <col min="8191" max="8191" width="16.7109375" style="7" customWidth="1"/>
    <col min="8192" max="8192" width="16.5703125" style="7" customWidth="1"/>
    <col min="8193" max="8193" width="15.140625" style="7" customWidth="1"/>
    <col min="8194" max="8194" width="19.7109375" style="7" customWidth="1"/>
    <col min="8195" max="8195" width="19.5703125" style="7" customWidth="1"/>
    <col min="8196" max="8196" width="13.7109375" style="7" customWidth="1"/>
    <col min="8197" max="8197" width="34.42578125" style="7" customWidth="1"/>
    <col min="8198" max="8198" width="26.7109375" style="7" customWidth="1"/>
    <col min="8199" max="8199" width="15.28515625" style="7" customWidth="1"/>
    <col min="8200" max="8200" width="9.140625" style="7"/>
    <col min="8201" max="8201" width="18.28515625" style="7" customWidth="1"/>
    <col min="8202" max="8437" width="9.140625" style="7"/>
    <col min="8438" max="8438" width="4.28515625" style="7" customWidth="1"/>
    <col min="8439" max="8439" width="52.7109375" style="7" customWidth="1"/>
    <col min="8440" max="8440" width="9.28515625" style="7" customWidth="1"/>
    <col min="8441" max="8441" width="17.7109375" style="7" customWidth="1"/>
    <col min="8442" max="8442" width="65.140625" style="7" customWidth="1"/>
    <col min="8443" max="8444" width="10.140625" style="7" customWidth="1"/>
    <col min="8445" max="8445" width="11.7109375" style="7" customWidth="1"/>
    <col min="8446" max="8446" width="13.85546875" style="7" customWidth="1"/>
    <col min="8447" max="8447" width="16.7109375" style="7" customWidth="1"/>
    <col min="8448" max="8448" width="16.5703125" style="7" customWidth="1"/>
    <col min="8449" max="8449" width="15.140625" style="7" customWidth="1"/>
    <col min="8450" max="8450" width="19.7109375" style="7" customWidth="1"/>
    <col min="8451" max="8451" width="19.5703125" style="7" customWidth="1"/>
    <col min="8452" max="8452" width="13.7109375" style="7" customWidth="1"/>
    <col min="8453" max="8453" width="34.42578125" style="7" customWidth="1"/>
    <col min="8454" max="8454" width="26.7109375" style="7" customWidth="1"/>
    <col min="8455" max="8455" width="15.28515625" style="7" customWidth="1"/>
    <col min="8456" max="8456" width="9.140625" style="7"/>
    <col min="8457" max="8457" width="18.28515625" style="7" customWidth="1"/>
    <col min="8458" max="8693" width="9.140625" style="7"/>
    <col min="8694" max="8694" width="4.28515625" style="7" customWidth="1"/>
    <col min="8695" max="8695" width="52.7109375" style="7" customWidth="1"/>
    <col min="8696" max="8696" width="9.28515625" style="7" customWidth="1"/>
    <col min="8697" max="8697" width="17.7109375" style="7" customWidth="1"/>
    <col min="8698" max="8698" width="65.140625" style="7" customWidth="1"/>
    <col min="8699" max="8700" width="10.140625" style="7" customWidth="1"/>
    <col min="8701" max="8701" width="11.7109375" style="7" customWidth="1"/>
    <col min="8702" max="8702" width="13.85546875" style="7" customWidth="1"/>
    <col min="8703" max="8703" width="16.7109375" style="7" customWidth="1"/>
    <col min="8704" max="8704" width="16.5703125" style="7" customWidth="1"/>
    <col min="8705" max="8705" width="15.140625" style="7" customWidth="1"/>
    <col min="8706" max="8706" width="19.7109375" style="7" customWidth="1"/>
    <col min="8707" max="8707" width="19.5703125" style="7" customWidth="1"/>
    <col min="8708" max="8708" width="13.7109375" style="7" customWidth="1"/>
    <col min="8709" max="8709" width="34.42578125" style="7" customWidth="1"/>
    <col min="8710" max="8710" width="26.7109375" style="7" customWidth="1"/>
    <col min="8711" max="8711" width="15.28515625" style="7" customWidth="1"/>
    <col min="8712" max="8712" width="9.140625" style="7"/>
    <col min="8713" max="8713" width="18.28515625" style="7" customWidth="1"/>
    <col min="8714" max="8949" width="9.140625" style="7"/>
    <col min="8950" max="8950" width="4.28515625" style="7" customWidth="1"/>
    <col min="8951" max="8951" width="52.7109375" style="7" customWidth="1"/>
    <col min="8952" max="8952" width="9.28515625" style="7" customWidth="1"/>
    <col min="8953" max="8953" width="17.7109375" style="7" customWidth="1"/>
    <col min="8954" max="8954" width="65.140625" style="7" customWidth="1"/>
    <col min="8955" max="8956" width="10.140625" style="7" customWidth="1"/>
    <col min="8957" max="8957" width="11.7109375" style="7" customWidth="1"/>
    <col min="8958" max="8958" width="13.85546875" style="7" customWidth="1"/>
    <col min="8959" max="8959" width="16.7109375" style="7" customWidth="1"/>
    <col min="8960" max="8960" width="16.5703125" style="7" customWidth="1"/>
    <col min="8961" max="8961" width="15.140625" style="7" customWidth="1"/>
    <col min="8962" max="8962" width="19.7109375" style="7" customWidth="1"/>
    <col min="8963" max="8963" width="19.5703125" style="7" customWidth="1"/>
    <col min="8964" max="8964" width="13.7109375" style="7" customWidth="1"/>
    <col min="8965" max="8965" width="34.42578125" style="7" customWidth="1"/>
    <col min="8966" max="8966" width="26.7109375" style="7" customWidth="1"/>
    <col min="8967" max="8967" width="15.28515625" style="7" customWidth="1"/>
    <col min="8968" max="8968" width="9.140625" style="7"/>
    <col min="8969" max="8969" width="18.28515625" style="7" customWidth="1"/>
    <col min="8970" max="9205" width="9.140625" style="7"/>
    <col min="9206" max="9206" width="4.28515625" style="7" customWidth="1"/>
    <col min="9207" max="9207" width="52.7109375" style="7" customWidth="1"/>
    <col min="9208" max="9208" width="9.28515625" style="7" customWidth="1"/>
    <col min="9209" max="9209" width="17.7109375" style="7" customWidth="1"/>
    <col min="9210" max="9210" width="65.140625" style="7" customWidth="1"/>
    <col min="9211" max="9212" width="10.140625" style="7" customWidth="1"/>
    <col min="9213" max="9213" width="11.7109375" style="7" customWidth="1"/>
    <col min="9214" max="9214" width="13.85546875" style="7" customWidth="1"/>
    <col min="9215" max="9215" width="16.7109375" style="7" customWidth="1"/>
    <col min="9216" max="9216" width="16.5703125" style="7" customWidth="1"/>
    <col min="9217" max="9217" width="15.140625" style="7" customWidth="1"/>
    <col min="9218" max="9218" width="19.7109375" style="7" customWidth="1"/>
    <col min="9219" max="9219" width="19.5703125" style="7" customWidth="1"/>
    <col min="9220" max="9220" width="13.7109375" style="7" customWidth="1"/>
    <col min="9221" max="9221" width="34.42578125" style="7" customWidth="1"/>
    <col min="9222" max="9222" width="26.7109375" style="7" customWidth="1"/>
    <col min="9223" max="9223" width="15.28515625" style="7" customWidth="1"/>
    <col min="9224" max="9224" width="9.140625" style="7"/>
    <col min="9225" max="9225" width="18.28515625" style="7" customWidth="1"/>
    <col min="9226" max="9461" width="9.140625" style="7"/>
    <col min="9462" max="9462" width="4.28515625" style="7" customWidth="1"/>
    <col min="9463" max="9463" width="52.7109375" style="7" customWidth="1"/>
    <col min="9464" max="9464" width="9.28515625" style="7" customWidth="1"/>
    <col min="9465" max="9465" width="17.7109375" style="7" customWidth="1"/>
    <col min="9466" max="9466" width="65.140625" style="7" customWidth="1"/>
    <col min="9467" max="9468" width="10.140625" style="7" customWidth="1"/>
    <col min="9469" max="9469" width="11.7109375" style="7" customWidth="1"/>
    <col min="9470" max="9470" width="13.85546875" style="7" customWidth="1"/>
    <col min="9471" max="9471" width="16.7109375" style="7" customWidth="1"/>
    <col min="9472" max="9472" width="16.5703125" style="7" customWidth="1"/>
    <col min="9473" max="9473" width="15.140625" style="7" customWidth="1"/>
    <col min="9474" max="9474" width="19.7109375" style="7" customWidth="1"/>
    <col min="9475" max="9475" width="19.5703125" style="7" customWidth="1"/>
    <col min="9476" max="9476" width="13.7109375" style="7" customWidth="1"/>
    <col min="9477" max="9477" width="34.42578125" style="7" customWidth="1"/>
    <col min="9478" max="9478" width="26.7109375" style="7" customWidth="1"/>
    <col min="9479" max="9479" width="15.28515625" style="7" customWidth="1"/>
    <col min="9480" max="9480" width="9.140625" style="7"/>
    <col min="9481" max="9481" width="18.28515625" style="7" customWidth="1"/>
    <col min="9482" max="9717" width="9.140625" style="7"/>
    <col min="9718" max="9718" width="4.28515625" style="7" customWidth="1"/>
    <col min="9719" max="9719" width="52.7109375" style="7" customWidth="1"/>
    <col min="9720" max="9720" width="9.28515625" style="7" customWidth="1"/>
    <col min="9721" max="9721" width="17.7109375" style="7" customWidth="1"/>
    <col min="9722" max="9722" width="65.140625" style="7" customWidth="1"/>
    <col min="9723" max="9724" width="10.140625" style="7" customWidth="1"/>
    <col min="9725" max="9725" width="11.7109375" style="7" customWidth="1"/>
    <col min="9726" max="9726" width="13.85546875" style="7" customWidth="1"/>
    <col min="9727" max="9727" width="16.7109375" style="7" customWidth="1"/>
    <col min="9728" max="9728" width="16.5703125" style="7" customWidth="1"/>
    <col min="9729" max="9729" width="15.140625" style="7" customWidth="1"/>
    <col min="9730" max="9730" width="19.7109375" style="7" customWidth="1"/>
    <col min="9731" max="9731" width="19.5703125" style="7" customWidth="1"/>
    <col min="9732" max="9732" width="13.7109375" style="7" customWidth="1"/>
    <col min="9733" max="9733" width="34.42578125" style="7" customWidth="1"/>
    <col min="9734" max="9734" width="26.7109375" style="7" customWidth="1"/>
    <col min="9735" max="9735" width="15.28515625" style="7" customWidth="1"/>
    <col min="9736" max="9736" width="9.140625" style="7"/>
    <col min="9737" max="9737" width="18.28515625" style="7" customWidth="1"/>
    <col min="9738" max="9973" width="9.140625" style="7"/>
    <col min="9974" max="9974" width="4.28515625" style="7" customWidth="1"/>
    <col min="9975" max="9975" width="52.7109375" style="7" customWidth="1"/>
    <col min="9976" max="9976" width="9.28515625" style="7" customWidth="1"/>
    <col min="9977" max="9977" width="17.7109375" style="7" customWidth="1"/>
    <col min="9978" max="9978" width="65.140625" style="7" customWidth="1"/>
    <col min="9979" max="9980" width="10.140625" style="7" customWidth="1"/>
    <col min="9981" max="9981" width="11.7109375" style="7" customWidth="1"/>
    <col min="9982" max="9982" width="13.85546875" style="7" customWidth="1"/>
    <col min="9983" max="9983" width="16.7109375" style="7" customWidth="1"/>
    <col min="9984" max="9984" width="16.5703125" style="7" customWidth="1"/>
    <col min="9985" max="9985" width="15.140625" style="7" customWidth="1"/>
    <col min="9986" max="9986" width="19.7109375" style="7" customWidth="1"/>
    <col min="9987" max="9987" width="19.5703125" style="7" customWidth="1"/>
    <col min="9988" max="9988" width="13.7109375" style="7" customWidth="1"/>
    <col min="9989" max="9989" width="34.42578125" style="7" customWidth="1"/>
    <col min="9990" max="9990" width="26.7109375" style="7" customWidth="1"/>
    <col min="9991" max="9991" width="15.28515625" style="7" customWidth="1"/>
    <col min="9992" max="9992" width="9.140625" style="7"/>
    <col min="9993" max="9993" width="18.28515625" style="7" customWidth="1"/>
    <col min="9994" max="10229" width="9.140625" style="7"/>
    <col min="10230" max="10230" width="4.28515625" style="7" customWidth="1"/>
    <col min="10231" max="10231" width="52.7109375" style="7" customWidth="1"/>
    <col min="10232" max="10232" width="9.28515625" style="7" customWidth="1"/>
    <col min="10233" max="10233" width="17.7109375" style="7" customWidth="1"/>
    <col min="10234" max="10234" width="65.140625" style="7" customWidth="1"/>
    <col min="10235" max="10236" width="10.140625" style="7" customWidth="1"/>
    <col min="10237" max="10237" width="11.7109375" style="7" customWidth="1"/>
    <col min="10238" max="10238" width="13.85546875" style="7" customWidth="1"/>
    <col min="10239" max="10239" width="16.7109375" style="7" customWidth="1"/>
    <col min="10240" max="10240" width="16.5703125" style="7" customWidth="1"/>
    <col min="10241" max="10241" width="15.140625" style="7" customWidth="1"/>
    <col min="10242" max="10242" width="19.7109375" style="7" customWidth="1"/>
    <col min="10243" max="10243" width="19.5703125" style="7" customWidth="1"/>
    <col min="10244" max="10244" width="13.7109375" style="7" customWidth="1"/>
    <col min="10245" max="10245" width="34.42578125" style="7" customWidth="1"/>
    <col min="10246" max="10246" width="26.7109375" style="7" customWidth="1"/>
    <col min="10247" max="10247" width="15.28515625" style="7" customWidth="1"/>
    <col min="10248" max="10248" width="9.140625" style="7"/>
    <col min="10249" max="10249" width="18.28515625" style="7" customWidth="1"/>
    <col min="10250" max="10485" width="9.140625" style="7"/>
    <col min="10486" max="10486" width="4.28515625" style="7" customWidth="1"/>
    <col min="10487" max="10487" width="52.7109375" style="7" customWidth="1"/>
    <col min="10488" max="10488" width="9.28515625" style="7" customWidth="1"/>
    <col min="10489" max="10489" width="17.7109375" style="7" customWidth="1"/>
    <col min="10490" max="10490" width="65.140625" style="7" customWidth="1"/>
    <col min="10491" max="10492" width="10.140625" style="7" customWidth="1"/>
    <col min="10493" max="10493" width="11.7109375" style="7" customWidth="1"/>
    <col min="10494" max="10494" width="13.85546875" style="7" customWidth="1"/>
    <col min="10495" max="10495" width="16.7109375" style="7" customWidth="1"/>
    <col min="10496" max="10496" width="16.5703125" style="7" customWidth="1"/>
    <col min="10497" max="10497" width="15.140625" style="7" customWidth="1"/>
    <col min="10498" max="10498" width="19.7109375" style="7" customWidth="1"/>
    <col min="10499" max="10499" width="19.5703125" style="7" customWidth="1"/>
    <col min="10500" max="10500" width="13.7109375" style="7" customWidth="1"/>
    <col min="10501" max="10501" width="34.42578125" style="7" customWidth="1"/>
    <col min="10502" max="10502" width="26.7109375" style="7" customWidth="1"/>
    <col min="10503" max="10503" width="15.28515625" style="7" customWidth="1"/>
    <col min="10504" max="10504" width="9.140625" style="7"/>
    <col min="10505" max="10505" width="18.28515625" style="7" customWidth="1"/>
    <col min="10506" max="10741" width="9.140625" style="7"/>
    <col min="10742" max="10742" width="4.28515625" style="7" customWidth="1"/>
    <col min="10743" max="10743" width="52.7109375" style="7" customWidth="1"/>
    <col min="10744" max="10744" width="9.28515625" style="7" customWidth="1"/>
    <col min="10745" max="10745" width="17.7109375" style="7" customWidth="1"/>
    <col min="10746" max="10746" width="65.140625" style="7" customWidth="1"/>
    <col min="10747" max="10748" width="10.140625" style="7" customWidth="1"/>
    <col min="10749" max="10749" width="11.7109375" style="7" customWidth="1"/>
    <col min="10750" max="10750" width="13.85546875" style="7" customWidth="1"/>
    <col min="10751" max="10751" width="16.7109375" style="7" customWidth="1"/>
    <col min="10752" max="10752" width="16.5703125" style="7" customWidth="1"/>
    <col min="10753" max="10753" width="15.140625" style="7" customWidth="1"/>
    <col min="10754" max="10754" width="19.7109375" style="7" customWidth="1"/>
    <col min="10755" max="10755" width="19.5703125" style="7" customWidth="1"/>
    <col min="10756" max="10756" width="13.7109375" style="7" customWidth="1"/>
    <col min="10757" max="10757" width="34.42578125" style="7" customWidth="1"/>
    <col min="10758" max="10758" width="26.7109375" style="7" customWidth="1"/>
    <col min="10759" max="10759" width="15.28515625" style="7" customWidth="1"/>
    <col min="10760" max="10760" width="9.140625" style="7"/>
    <col min="10761" max="10761" width="18.28515625" style="7" customWidth="1"/>
    <col min="10762" max="10997" width="9.140625" style="7"/>
    <col min="10998" max="10998" width="4.28515625" style="7" customWidth="1"/>
    <col min="10999" max="10999" width="52.7109375" style="7" customWidth="1"/>
    <col min="11000" max="11000" width="9.28515625" style="7" customWidth="1"/>
    <col min="11001" max="11001" width="17.7109375" style="7" customWidth="1"/>
    <col min="11002" max="11002" width="65.140625" style="7" customWidth="1"/>
    <col min="11003" max="11004" width="10.140625" style="7" customWidth="1"/>
    <col min="11005" max="11005" width="11.7109375" style="7" customWidth="1"/>
    <col min="11006" max="11006" width="13.85546875" style="7" customWidth="1"/>
    <col min="11007" max="11007" width="16.7109375" style="7" customWidth="1"/>
    <col min="11008" max="11008" width="16.5703125" style="7" customWidth="1"/>
    <col min="11009" max="11009" width="15.140625" style="7" customWidth="1"/>
    <col min="11010" max="11010" width="19.7109375" style="7" customWidth="1"/>
    <col min="11011" max="11011" width="19.5703125" style="7" customWidth="1"/>
    <col min="11012" max="11012" width="13.7109375" style="7" customWidth="1"/>
    <col min="11013" max="11013" width="34.42578125" style="7" customWidth="1"/>
    <col min="11014" max="11014" width="26.7109375" style="7" customWidth="1"/>
    <col min="11015" max="11015" width="15.28515625" style="7" customWidth="1"/>
    <col min="11016" max="11016" width="9.140625" style="7"/>
    <col min="11017" max="11017" width="18.28515625" style="7" customWidth="1"/>
    <col min="11018" max="11253" width="9.140625" style="7"/>
    <col min="11254" max="11254" width="4.28515625" style="7" customWidth="1"/>
    <col min="11255" max="11255" width="52.7109375" style="7" customWidth="1"/>
    <col min="11256" max="11256" width="9.28515625" style="7" customWidth="1"/>
    <col min="11257" max="11257" width="17.7109375" style="7" customWidth="1"/>
    <col min="11258" max="11258" width="65.140625" style="7" customWidth="1"/>
    <col min="11259" max="11260" width="10.140625" style="7" customWidth="1"/>
    <col min="11261" max="11261" width="11.7109375" style="7" customWidth="1"/>
    <col min="11262" max="11262" width="13.85546875" style="7" customWidth="1"/>
    <col min="11263" max="11263" width="16.7109375" style="7" customWidth="1"/>
    <col min="11264" max="11264" width="16.5703125" style="7" customWidth="1"/>
    <col min="11265" max="11265" width="15.140625" style="7" customWidth="1"/>
    <col min="11266" max="11266" width="19.7109375" style="7" customWidth="1"/>
    <col min="11267" max="11267" width="19.5703125" style="7" customWidth="1"/>
    <col min="11268" max="11268" width="13.7109375" style="7" customWidth="1"/>
    <col min="11269" max="11269" width="34.42578125" style="7" customWidth="1"/>
    <col min="11270" max="11270" width="26.7109375" style="7" customWidth="1"/>
    <col min="11271" max="11271" width="15.28515625" style="7" customWidth="1"/>
    <col min="11272" max="11272" width="9.140625" style="7"/>
    <col min="11273" max="11273" width="18.28515625" style="7" customWidth="1"/>
    <col min="11274" max="11509" width="9.140625" style="7"/>
    <col min="11510" max="11510" width="4.28515625" style="7" customWidth="1"/>
    <col min="11511" max="11511" width="52.7109375" style="7" customWidth="1"/>
    <col min="11512" max="11512" width="9.28515625" style="7" customWidth="1"/>
    <col min="11513" max="11513" width="17.7109375" style="7" customWidth="1"/>
    <col min="11514" max="11514" width="65.140625" style="7" customWidth="1"/>
    <col min="11515" max="11516" width="10.140625" style="7" customWidth="1"/>
    <col min="11517" max="11517" width="11.7109375" style="7" customWidth="1"/>
    <col min="11518" max="11518" width="13.85546875" style="7" customWidth="1"/>
    <col min="11519" max="11519" width="16.7109375" style="7" customWidth="1"/>
    <col min="11520" max="11520" width="16.5703125" style="7" customWidth="1"/>
    <col min="11521" max="11521" width="15.140625" style="7" customWidth="1"/>
    <col min="11522" max="11522" width="19.7109375" style="7" customWidth="1"/>
    <col min="11523" max="11523" width="19.5703125" style="7" customWidth="1"/>
    <col min="11524" max="11524" width="13.7109375" style="7" customWidth="1"/>
    <col min="11525" max="11525" width="34.42578125" style="7" customWidth="1"/>
    <col min="11526" max="11526" width="26.7109375" style="7" customWidth="1"/>
    <col min="11527" max="11527" width="15.28515625" style="7" customWidth="1"/>
    <col min="11528" max="11528" width="9.140625" style="7"/>
    <col min="11529" max="11529" width="18.28515625" style="7" customWidth="1"/>
    <col min="11530" max="11765" width="9.140625" style="7"/>
    <col min="11766" max="11766" width="4.28515625" style="7" customWidth="1"/>
    <col min="11767" max="11767" width="52.7109375" style="7" customWidth="1"/>
    <col min="11768" max="11768" width="9.28515625" style="7" customWidth="1"/>
    <col min="11769" max="11769" width="17.7109375" style="7" customWidth="1"/>
    <col min="11770" max="11770" width="65.140625" style="7" customWidth="1"/>
    <col min="11771" max="11772" width="10.140625" style="7" customWidth="1"/>
    <col min="11773" max="11773" width="11.7109375" style="7" customWidth="1"/>
    <col min="11774" max="11774" width="13.85546875" style="7" customWidth="1"/>
    <col min="11775" max="11775" width="16.7109375" style="7" customWidth="1"/>
    <col min="11776" max="11776" width="16.5703125" style="7" customWidth="1"/>
    <col min="11777" max="11777" width="15.140625" style="7" customWidth="1"/>
    <col min="11778" max="11778" width="19.7109375" style="7" customWidth="1"/>
    <col min="11779" max="11779" width="19.5703125" style="7" customWidth="1"/>
    <col min="11780" max="11780" width="13.7109375" style="7" customWidth="1"/>
    <col min="11781" max="11781" width="34.42578125" style="7" customWidth="1"/>
    <col min="11782" max="11782" width="26.7109375" style="7" customWidth="1"/>
    <col min="11783" max="11783" width="15.28515625" style="7" customWidth="1"/>
    <col min="11784" max="11784" width="9.140625" style="7"/>
    <col min="11785" max="11785" width="18.28515625" style="7" customWidth="1"/>
    <col min="11786" max="12021" width="9.140625" style="7"/>
    <col min="12022" max="12022" width="4.28515625" style="7" customWidth="1"/>
    <col min="12023" max="12023" width="52.7109375" style="7" customWidth="1"/>
    <col min="12024" max="12024" width="9.28515625" style="7" customWidth="1"/>
    <col min="12025" max="12025" width="17.7109375" style="7" customWidth="1"/>
    <col min="12026" max="12026" width="65.140625" style="7" customWidth="1"/>
    <col min="12027" max="12028" width="10.140625" style="7" customWidth="1"/>
    <col min="12029" max="12029" width="11.7109375" style="7" customWidth="1"/>
    <col min="12030" max="12030" width="13.85546875" style="7" customWidth="1"/>
    <col min="12031" max="12031" width="16.7109375" style="7" customWidth="1"/>
    <col min="12032" max="12032" width="16.5703125" style="7" customWidth="1"/>
    <col min="12033" max="12033" width="15.140625" style="7" customWidth="1"/>
    <col min="12034" max="12034" width="19.7109375" style="7" customWidth="1"/>
    <col min="12035" max="12035" width="19.5703125" style="7" customWidth="1"/>
    <col min="12036" max="12036" width="13.7109375" style="7" customWidth="1"/>
    <col min="12037" max="12037" width="34.42578125" style="7" customWidth="1"/>
    <col min="12038" max="12038" width="26.7109375" style="7" customWidth="1"/>
    <col min="12039" max="12039" width="15.28515625" style="7" customWidth="1"/>
    <col min="12040" max="12040" width="9.140625" style="7"/>
    <col min="12041" max="12041" width="18.28515625" style="7" customWidth="1"/>
    <col min="12042" max="12277" width="9.140625" style="7"/>
    <col min="12278" max="12278" width="4.28515625" style="7" customWidth="1"/>
    <col min="12279" max="12279" width="52.7109375" style="7" customWidth="1"/>
    <col min="12280" max="12280" width="9.28515625" style="7" customWidth="1"/>
    <col min="12281" max="12281" width="17.7109375" style="7" customWidth="1"/>
    <col min="12282" max="12282" width="65.140625" style="7" customWidth="1"/>
    <col min="12283" max="12284" width="10.140625" style="7" customWidth="1"/>
    <col min="12285" max="12285" width="11.7109375" style="7" customWidth="1"/>
    <col min="12286" max="12286" width="13.85546875" style="7" customWidth="1"/>
    <col min="12287" max="12287" width="16.7109375" style="7" customWidth="1"/>
    <col min="12288" max="12288" width="16.5703125" style="7" customWidth="1"/>
    <col min="12289" max="12289" width="15.140625" style="7" customWidth="1"/>
    <col min="12290" max="12290" width="19.7109375" style="7" customWidth="1"/>
    <col min="12291" max="12291" width="19.5703125" style="7" customWidth="1"/>
    <col min="12292" max="12292" width="13.7109375" style="7" customWidth="1"/>
    <col min="12293" max="12293" width="34.42578125" style="7" customWidth="1"/>
    <col min="12294" max="12294" width="26.7109375" style="7" customWidth="1"/>
    <col min="12295" max="12295" width="15.28515625" style="7" customWidth="1"/>
    <col min="12296" max="12296" width="9.140625" style="7"/>
    <col min="12297" max="12297" width="18.28515625" style="7" customWidth="1"/>
    <col min="12298" max="12533" width="9.140625" style="7"/>
    <col min="12534" max="12534" width="4.28515625" style="7" customWidth="1"/>
    <col min="12535" max="12535" width="52.7109375" style="7" customWidth="1"/>
    <col min="12536" max="12536" width="9.28515625" style="7" customWidth="1"/>
    <col min="12537" max="12537" width="17.7109375" style="7" customWidth="1"/>
    <col min="12538" max="12538" width="65.140625" style="7" customWidth="1"/>
    <col min="12539" max="12540" width="10.140625" style="7" customWidth="1"/>
    <col min="12541" max="12541" width="11.7109375" style="7" customWidth="1"/>
    <col min="12542" max="12542" width="13.85546875" style="7" customWidth="1"/>
    <col min="12543" max="12543" width="16.7109375" style="7" customWidth="1"/>
    <col min="12544" max="12544" width="16.5703125" style="7" customWidth="1"/>
    <col min="12545" max="12545" width="15.140625" style="7" customWidth="1"/>
    <col min="12546" max="12546" width="19.7109375" style="7" customWidth="1"/>
    <col min="12547" max="12547" width="19.5703125" style="7" customWidth="1"/>
    <col min="12548" max="12548" width="13.7109375" style="7" customWidth="1"/>
    <col min="12549" max="12549" width="34.42578125" style="7" customWidth="1"/>
    <col min="12550" max="12550" width="26.7109375" style="7" customWidth="1"/>
    <col min="12551" max="12551" width="15.28515625" style="7" customWidth="1"/>
    <col min="12552" max="12552" width="9.140625" style="7"/>
    <col min="12553" max="12553" width="18.28515625" style="7" customWidth="1"/>
    <col min="12554" max="12789" width="9.140625" style="7"/>
    <col min="12790" max="12790" width="4.28515625" style="7" customWidth="1"/>
    <col min="12791" max="12791" width="52.7109375" style="7" customWidth="1"/>
    <col min="12792" max="12792" width="9.28515625" style="7" customWidth="1"/>
    <col min="12793" max="12793" width="17.7109375" style="7" customWidth="1"/>
    <col min="12794" max="12794" width="65.140625" style="7" customWidth="1"/>
    <col min="12795" max="12796" width="10.140625" style="7" customWidth="1"/>
    <col min="12797" max="12797" width="11.7109375" style="7" customWidth="1"/>
    <col min="12798" max="12798" width="13.85546875" style="7" customWidth="1"/>
    <col min="12799" max="12799" width="16.7109375" style="7" customWidth="1"/>
    <col min="12800" max="12800" width="16.5703125" style="7" customWidth="1"/>
    <col min="12801" max="12801" width="15.140625" style="7" customWidth="1"/>
    <col min="12802" max="12802" width="19.7109375" style="7" customWidth="1"/>
    <col min="12803" max="12803" width="19.5703125" style="7" customWidth="1"/>
    <col min="12804" max="12804" width="13.7109375" style="7" customWidth="1"/>
    <col min="12805" max="12805" width="34.42578125" style="7" customWidth="1"/>
    <col min="12806" max="12806" width="26.7109375" style="7" customWidth="1"/>
    <col min="12807" max="12807" width="15.28515625" style="7" customWidth="1"/>
    <col min="12808" max="12808" width="9.140625" style="7"/>
    <col min="12809" max="12809" width="18.28515625" style="7" customWidth="1"/>
    <col min="12810" max="13045" width="9.140625" style="7"/>
    <col min="13046" max="13046" width="4.28515625" style="7" customWidth="1"/>
    <col min="13047" max="13047" width="52.7109375" style="7" customWidth="1"/>
    <col min="13048" max="13048" width="9.28515625" style="7" customWidth="1"/>
    <col min="13049" max="13049" width="17.7109375" style="7" customWidth="1"/>
    <col min="13050" max="13050" width="65.140625" style="7" customWidth="1"/>
    <col min="13051" max="13052" width="10.140625" style="7" customWidth="1"/>
    <col min="13053" max="13053" width="11.7109375" style="7" customWidth="1"/>
    <col min="13054" max="13054" width="13.85546875" style="7" customWidth="1"/>
    <col min="13055" max="13055" width="16.7109375" style="7" customWidth="1"/>
    <col min="13056" max="13056" width="16.5703125" style="7" customWidth="1"/>
    <col min="13057" max="13057" width="15.140625" style="7" customWidth="1"/>
    <col min="13058" max="13058" width="19.7109375" style="7" customWidth="1"/>
    <col min="13059" max="13059" width="19.5703125" style="7" customWidth="1"/>
    <col min="13060" max="13060" width="13.7109375" style="7" customWidth="1"/>
    <col min="13061" max="13061" width="34.42578125" style="7" customWidth="1"/>
    <col min="13062" max="13062" width="26.7109375" style="7" customWidth="1"/>
    <col min="13063" max="13063" width="15.28515625" style="7" customWidth="1"/>
    <col min="13064" max="13064" width="9.140625" style="7"/>
    <col min="13065" max="13065" width="18.28515625" style="7" customWidth="1"/>
    <col min="13066" max="13301" width="9.140625" style="7"/>
    <col min="13302" max="13302" width="4.28515625" style="7" customWidth="1"/>
    <col min="13303" max="13303" width="52.7109375" style="7" customWidth="1"/>
    <col min="13304" max="13304" width="9.28515625" style="7" customWidth="1"/>
    <col min="13305" max="13305" width="17.7109375" style="7" customWidth="1"/>
    <col min="13306" max="13306" width="65.140625" style="7" customWidth="1"/>
    <col min="13307" max="13308" width="10.140625" style="7" customWidth="1"/>
    <col min="13309" max="13309" width="11.7109375" style="7" customWidth="1"/>
    <col min="13310" max="13310" width="13.85546875" style="7" customWidth="1"/>
    <col min="13311" max="13311" width="16.7109375" style="7" customWidth="1"/>
    <col min="13312" max="13312" width="16.5703125" style="7" customWidth="1"/>
    <col min="13313" max="13313" width="15.140625" style="7" customWidth="1"/>
    <col min="13314" max="13314" width="19.7109375" style="7" customWidth="1"/>
    <col min="13315" max="13315" width="19.5703125" style="7" customWidth="1"/>
    <col min="13316" max="13316" width="13.7109375" style="7" customWidth="1"/>
    <col min="13317" max="13317" width="34.42578125" style="7" customWidth="1"/>
    <col min="13318" max="13318" width="26.7109375" style="7" customWidth="1"/>
    <col min="13319" max="13319" width="15.28515625" style="7" customWidth="1"/>
    <col min="13320" max="13320" width="9.140625" style="7"/>
    <col min="13321" max="13321" width="18.28515625" style="7" customWidth="1"/>
    <col min="13322" max="13557" width="9.140625" style="7"/>
    <col min="13558" max="13558" width="4.28515625" style="7" customWidth="1"/>
    <col min="13559" max="13559" width="52.7109375" style="7" customWidth="1"/>
    <col min="13560" max="13560" width="9.28515625" style="7" customWidth="1"/>
    <col min="13561" max="13561" width="17.7109375" style="7" customWidth="1"/>
    <col min="13562" max="13562" width="65.140625" style="7" customWidth="1"/>
    <col min="13563" max="13564" width="10.140625" style="7" customWidth="1"/>
    <col min="13565" max="13565" width="11.7109375" style="7" customWidth="1"/>
    <col min="13566" max="13566" width="13.85546875" style="7" customWidth="1"/>
    <col min="13567" max="13567" width="16.7109375" style="7" customWidth="1"/>
    <col min="13568" max="13568" width="16.5703125" style="7" customWidth="1"/>
    <col min="13569" max="13569" width="15.140625" style="7" customWidth="1"/>
    <col min="13570" max="13570" width="19.7109375" style="7" customWidth="1"/>
    <col min="13571" max="13571" width="19.5703125" style="7" customWidth="1"/>
    <col min="13572" max="13572" width="13.7109375" style="7" customWidth="1"/>
    <col min="13573" max="13573" width="34.42578125" style="7" customWidth="1"/>
    <col min="13574" max="13574" width="26.7109375" style="7" customWidth="1"/>
    <col min="13575" max="13575" width="15.28515625" style="7" customWidth="1"/>
    <col min="13576" max="13576" width="9.140625" style="7"/>
    <col min="13577" max="13577" width="18.28515625" style="7" customWidth="1"/>
    <col min="13578" max="13813" width="9.140625" style="7"/>
    <col min="13814" max="13814" width="4.28515625" style="7" customWidth="1"/>
    <col min="13815" max="13815" width="52.7109375" style="7" customWidth="1"/>
    <col min="13816" max="13816" width="9.28515625" style="7" customWidth="1"/>
    <col min="13817" max="13817" width="17.7109375" style="7" customWidth="1"/>
    <col min="13818" max="13818" width="65.140625" style="7" customWidth="1"/>
    <col min="13819" max="13820" width="10.140625" style="7" customWidth="1"/>
    <col min="13821" max="13821" width="11.7109375" style="7" customWidth="1"/>
    <col min="13822" max="13822" width="13.85546875" style="7" customWidth="1"/>
    <col min="13823" max="13823" width="16.7109375" style="7" customWidth="1"/>
    <col min="13824" max="13824" width="16.5703125" style="7" customWidth="1"/>
    <col min="13825" max="13825" width="15.140625" style="7" customWidth="1"/>
    <col min="13826" max="13826" width="19.7109375" style="7" customWidth="1"/>
    <col min="13827" max="13827" width="19.5703125" style="7" customWidth="1"/>
    <col min="13828" max="13828" width="13.7109375" style="7" customWidth="1"/>
    <col min="13829" max="13829" width="34.42578125" style="7" customWidth="1"/>
    <col min="13830" max="13830" width="26.7109375" style="7" customWidth="1"/>
    <col min="13831" max="13831" width="15.28515625" style="7" customWidth="1"/>
    <col min="13832" max="13832" width="9.140625" style="7"/>
    <col min="13833" max="13833" width="18.28515625" style="7" customWidth="1"/>
    <col min="13834" max="14069" width="9.140625" style="7"/>
    <col min="14070" max="14070" width="4.28515625" style="7" customWidth="1"/>
    <col min="14071" max="14071" width="52.7109375" style="7" customWidth="1"/>
    <col min="14072" max="14072" width="9.28515625" style="7" customWidth="1"/>
    <col min="14073" max="14073" width="17.7109375" style="7" customWidth="1"/>
    <col min="14074" max="14074" width="65.140625" style="7" customWidth="1"/>
    <col min="14075" max="14076" width="10.140625" style="7" customWidth="1"/>
    <col min="14077" max="14077" width="11.7109375" style="7" customWidth="1"/>
    <col min="14078" max="14078" width="13.85546875" style="7" customWidth="1"/>
    <col min="14079" max="14079" width="16.7109375" style="7" customWidth="1"/>
    <col min="14080" max="14080" width="16.5703125" style="7" customWidth="1"/>
    <col min="14081" max="14081" width="15.140625" style="7" customWidth="1"/>
    <col min="14082" max="14082" width="19.7109375" style="7" customWidth="1"/>
    <col min="14083" max="14083" width="19.5703125" style="7" customWidth="1"/>
    <col min="14084" max="14084" width="13.7109375" style="7" customWidth="1"/>
    <col min="14085" max="14085" width="34.42578125" style="7" customWidth="1"/>
    <col min="14086" max="14086" width="26.7109375" style="7" customWidth="1"/>
    <col min="14087" max="14087" width="15.28515625" style="7" customWidth="1"/>
    <col min="14088" max="14088" width="9.140625" style="7"/>
    <col min="14089" max="14089" width="18.28515625" style="7" customWidth="1"/>
    <col min="14090" max="14325" width="9.140625" style="7"/>
    <col min="14326" max="14326" width="4.28515625" style="7" customWidth="1"/>
    <col min="14327" max="14327" width="52.7109375" style="7" customWidth="1"/>
    <col min="14328" max="14328" width="9.28515625" style="7" customWidth="1"/>
    <col min="14329" max="14329" width="17.7109375" style="7" customWidth="1"/>
    <col min="14330" max="14330" width="65.140625" style="7" customWidth="1"/>
    <col min="14331" max="14332" width="10.140625" style="7" customWidth="1"/>
    <col min="14333" max="14333" width="11.7109375" style="7" customWidth="1"/>
    <col min="14334" max="14334" width="13.85546875" style="7" customWidth="1"/>
    <col min="14335" max="14335" width="16.7109375" style="7" customWidth="1"/>
    <col min="14336" max="14336" width="16.5703125" style="7" customWidth="1"/>
    <col min="14337" max="14337" width="15.140625" style="7" customWidth="1"/>
    <col min="14338" max="14338" width="19.7109375" style="7" customWidth="1"/>
    <col min="14339" max="14339" width="19.5703125" style="7" customWidth="1"/>
    <col min="14340" max="14340" width="13.7109375" style="7" customWidth="1"/>
    <col min="14341" max="14341" width="34.42578125" style="7" customWidth="1"/>
    <col min="14342" max="14342" width="26.7109375" style="7" customWidth="1"/>
    <col min="14343" max="14343" width="15.28515625" style="7" customWidth="1"/>
    <col min="14344" max="14344" width="9.140625" style="7"/>
    <col min="14345" max="14345" width="18.28515625" style="7" customWidth="1"/>
    <col min="14346" max="14581" width="9.140625" style="7"/>
    <col min="14582" max="14582" width="4.28515625" style="7" customWidth="1"/>
    <col min="14583" max="14583" width="52.7109375" style="7" customWidth="1"/>
    <col min="14584" max="14584" width="9.28515625" style="7" customWidth="1"/>
    <col min="14585" max="14585" width="17.7109375" style="7" customWidth="1"/>
    <col min="14586" max="14586" width="65.140625" style="7" customWidth="1"/>
    <col min="14587" max="14588" width="10.140625" style="7" customWidth="1"/>
    <col min="14589" max="14589" width="11.7109375" style="7" customWidth="1"/>
    <col min="14590" max="14590" width="13.85546875" style="7" customWidth="1"/>
    <col min="14591" max="14591" width="16.7109375" style="7" customWidth="1"/>
    <col min="14592" max="14592" width="16.5703125" style="7" customWidth="1"/>
    <col min="14593" max="14593" width="15.140625" style="7" customWidth="1"/>
    <col min="14594" max="14594" width="19.7109375" style="7" customWidth="1"/>
    <col min="14595" max="14595" width="19.5703125" style="7" customWidth="1"/>
    <col min="14596" max="14596" width="13.7109375" style="7" customWidth="1"/>
    <col min="14597" max="14597" width="34.42578125" style="7" customWidth="1"/>
    <col min="14598" max="14598" width="26.7109375" style="7" customWidth="1"/>
    <col min="14599" max="14599" width="15.28515625" style="7" customWidth="1"/>
    <col min="14600" max="14600" width="9.140625" style="7"/>
    <col min="14601" max="14601" width="18.28515625" style="7" customWidth="1"/>
    <col min="14602" max="14837" width="9.140625" style="7"/>
    <col min="14838" max="14838" width="4.28515625" style="7" customWidth="1"/>
    <col min="14839" max="14839" width="52.7109375" style="7" customWidth="1"/>
    <col min="14840" max="14840" width="9.28515625" style="7" customWidth="1"/>
    <col min="14841" max="14841" width="17.7109375" style="7" customWidth="1"/>
    <col min="14842" max="14842" width="65.140625" style="7" customWidth="1"/>
    <col min="14843" max="14844" width="10.140625" style="7" customWidth="1"/>
    <col min="14845" max="14845" width="11.7109375" style="7" customWidth="1"/>
    <col min="14846" max="14846" width="13.85546875" style="7" customWidth="1"/>
    <col min="14847" max="14847" width="16.7109375" style="7" customWidth="1"/>
    <col min="14848" max="14848" width="16.5703125" style="7" customWidth="1"/>
    <col min="14849" max="14849" width="15.140625" style="7" customWidth="1"/>
    <col min="14850" max="14850" width="19.7109375" style="7" customWidth="1"/>
    <col min="14851" max="14851" width="19.5703125" style="7" customWidth="1"/>
    <col min="14852" max="14852" width="13.7109375" style="7" customWidth="1"/>
    <col min="14853" max="14853" width="34.42578125" style="7" customWidth="1"/>
    <col min="14854" max="14854" width="26.7109375" style="7" customWidth="1"/>
    <col min="14855" max="14855" width="15.28515625" style="7" customWidth="1"/>
    <col min="14856" max="14856" width="9.140625" style="7"/>
    <col min="14857" max="14857" width="18.28515625" style="7" customWidth="1"/>
    <col min="14858" max="15093" width="9.140625" style="7"/>
    <col min="15094" max="15094" width="4.28515625" style="7" customWidth="1"/>
    <col min="15095" max="15095" width="52.7109375" style="7" customWidth="1"/>
    <col min="15096" max="15096" width="9.28515625" style="7" customWidth="1"/>
    <col min="15097" max="15097" width="17.7109375" style="7" customWidth="1"/>
    <col min="15098" max="15098" width="65.140625" style="7" customWidth="1"/>
    <col min="15099" max="15100" width="10.140625" style="7" customWidth="1"/>
    <col min="15101" max="15101" width="11.7109375" style="7" customWidth="1"/>
    <col min="15102" max="15102" width="13.85546875" style="7" customWidth="1"/>
    <col min="15103" max="15103" width="16.7109375" style="7" customWidth="1"/>
    <col min="15104" max="15104" width="16.5703125" style="7" customWidth="1"/>
    <col min="15105" max="15105" width="15.140625" style="7" customWidth="1"/>
    <col min="15106" max="15106" width="19.7109375" style="7" customWidth="1"/>
    <col min="15107" max="15107" width="19.5703125" style="7" customWidth="1"/>
    <col min="15108" max="15108" width="13.7109375" style="7" customWidth="1"/>
    <col min="15109" max="15109" width="34.42578125" style="7" customWidth="1"/>
    <col min="15110" max="15110" width="26.7109375" style="7" customWidth="1"/>
    <col min="15111" max="15111" width="15.28515625" style="7" customWidth="1"/>
    <col min="15112" max="15112" width="9.140625" style="7"/>
    <col min="15113" max="15113" width="18.28515625" style="7" customWidth="1"/>
    <col min="15114" max="15349" width="9.140625" style="7"/>
    <col min="15350" max="15350" width="4.28515625" style="7" customWidth="1"/>
    <col min="15351" max="15351" width="52.7109375" style="7" customWidth="1"/>
    <col min="15352" max="15352" width="9.28515625" style="7" customWidth="1"/>
    <col min="15353" max="15353" width="17.7109375" style="7" customWidth="1"/>
    <col min="15354" max="15354" width="65.140625" style="7" customWidth="1"/>
    <col min="15355" max="15356" width="10.140625" style="7" customWidth="1"/>
    <col min="15357" max="15357" width="11.7109375" style="7" customWidth="1"/>
    <col min="15358" max="15358" width="13.85546875" style="7" customWidth="1"/>
    <col min="15359" max="15359" width="16.7109375" style="7" customWidth="1"/>
    <col min="15360" max="15360" width="16.5703125" style="7" customWidth="1"/>
    <col min="15361" max="15361" width="15.140625" style="7" customWidth="1"/>
    <col min="15362" max="15362" width="19.7109375" style="7" customWidth="1"/>
    <col min="15363" max="15363" width="19.5703125" style="7" customWidth="1"/>
    <col min="15364" max="15364" width="13.7109375" style="7" customWidth="1"/>
    <col min="15365" max="15365" width="34.42578125" style="7" customWidth="1"/>
    <col min="15366" max="15366" width="26.7109375" style="7" customWidth="1"/>
    <col min="15367" max="15367" width="15.28515625" style="7" customWidth="1"/>
    <col min="15368" max="15368" width="9.140625" style="7"/>
    <col min="15369" max="15369" width="18.28515625" style="7" customWidth="1"/>
    <col min="15370" max="15605" width="9.140625" style="7"/>
    <col min="15606" max="15606" width="4.28515625" style="7" customWidth="1"/>
    <col min="15607" max="15607" width="52.7109375" style="7" customWidth="1"/>
    <col min="15608" max="15608" width="9.28515625" style="7" customWidth="1"/>
    <col min="15609" max="15609" width="17.7109375" style="7" customWidth="1"/>
    <col min="15610" max="15610" width="65.140625" style="7" customWidth="1"/>
    <col min="15611" max="15612" width="10.140625" style="7" customWidth="1"/>
    <col min="15613" max="15613" width="11.7109375" style="7" customWidth="1"/>
    <col min="15614" max="15614" width="13.85546875" style="7" customWidth="1"/>
    <col min="15615" max="15615" width="16.7109375" style="7" customWidth="1"/>
    <col min="15616" max="15616" width="16.5703125" style="7" customWidth="1"/>
    <col min="15617" max="15617" width="15.140625" style="7" customWidth="1"/>
    <col min="15618" max="15618" width="19.7109375" style="7" customWidth="1"/>
    <col min="15619" max="15619" width="19.5703125" style="7" customWidth="1"/>
    <col min="15620" max="15620" width="13.7109375" style="7" customWidth="1"/>
    <col min="15621" max="15621" width="34.42578125" style="7" customWidth="1"/>
    <col min="15622" max="15622" width="26.7109375" style="7" customWidth="1"/>
    <col min="15623" max="15623" width="15.28515625" style="7" customWidth="1"/>
    <col min="15624" max="15624" width="9.140625" style="7"/>
    <col min="15625" max="15625" width="18.28515625" style="7" customWidth="1"/>
    <col min="15626" max="15861" width="9.140625" style="7"/>
    <col min="15862" max="15862" width="4.28515625" style="7" customWidth="1"/>
    <col min="15863" max="15863" width="52.7109375" style="7" customWidth="1"/>
    <col min="15864" max="15864" width="9.28515625" style="7" customWidth="1"/>
    <col min="15865" max="15865" width="17.7109375" style="7" customWidth="1"/>
    <col min="15866" max="15866" width="65.140625" style="7" customWidth="1"/>
    <col min="15867" max="15868" width="10.140625" style="7" customWidth="1"/>
    <col min="15869" max="15869" width="11.7109375" style="7" customWidth="1"/>
    <col min="15870" max="15870" width="13.85546875" style="7" customWidth="1"/>
    <col min="15871" max="15871" width="16.7109375" style="7" customWidth="1"/>
    <col min="15872" max="15872" width="16.5703125" style="7" customWidth="1"/>
    <col min="15873" max="15873" width="15.140625" style="7" customWidth="1"/>
    <col min="15874" max="15874" width="19.7109375" style="7" customWidth="1"/>
    <col min="15875" max="15875" width="19.5703125" style="7" customWidth="1"/>
    <col min="15876" max="15876" width="13.7109375" style="7" customWidth="1"/>
    <col min="15877" max="15877" width="34.42578125" style="7" customWidth="1"/>
    <col min="15878" max="15878" width="26.7109375" style="7" customWidth="1"/>
    <col min="15879" max="15879" width="15.28515625" style="7" customWidth="1"/>
    <col min="15880" max="15880" width="9.140625" style="7"/>
    <col min="15881" max="15881" width="18.28515625" style="7" customWidth="1"/>
    <col min="15882" max="16117" width="9.140625" style="7"/>
    <col min="16118" max="16118" width="4.28515625" style="7" customWidth="1"/>
    <col min="16119" max="16119" width="52.7109375" style="7" customWidth="1"/>
    <col min="16120" max="16120" width="9.28515625" style="7" customWidth="1"/>
    <col min="16121" max="16121" width="17.7109375" style="7" customWidth="1"/>
    <col min="16122" max="16122" width="65.140625" style="7" customWidth="1"/>
    <col min="16123" max="16124" width="10.140625" style="7" customWidth="1"/>
    <col min="16125" max="16125" width="11.7109375" style="7" customWidth="1"/>
    <col min="16126" max="16126" width="13.85546875" style="7" customWidth="1"/>
    <col min="16127" max="16127" width="16.7109375" style="7" customWidth="1"/>
    <col min="16128" max="16128" width="16.5703125" style="7" customWidth="1"/>
    <col min="16129" max="16129" width="15.140625" style="7" customWidth="1"/>
    <col min="16130" max="16130" width="19.7109375" style="7" customWidth="1"/>
    <col min="16131" max="16131" width="19.5703125" style="7" customWidth="1"/>
    <col min="16132" max="16132" width="13.7109375" style="7" customWidth="1"/>
    <col min="16133" max="16133" width="34.42578125" style="7" customWidth="1"/>
    <col min="16134" max="16134" width="26.7109375" style="7" customWidth="1"/>
    <col min="16135" max="16135" width="15.28515625" style="7" customWidth="1"/>
    <col min="16136" max="16136" width="9.140625" style="7"/>
    <col min="16137" max="16137" width="18.28515625" style="7" customWidth="1"/>
    <col min="16138" max="16384" width="9.140625" style="7"/>
  </cols>
  <sheetData>
    <row r="1" spans="1:19" ht="20.25" customHeight="1" x14ac:dyDescent="0.25">
      <c r="B1" s="175" t="s">
        <v>484</v>
      </c>
      <c r="C1" s="175"/>
    </row>
    <row r="2" spans="1:19" ht="23.25" customHeight="1" x14ac:dyDescent="0.25">
      <c r="A2" s="1"/>
      <c r="B2" s="175"/>
      <c r="C2" s="175"/>
      <c r="D2" s="2"/>
      <c r="E2" s="2"/>
      <c r="F2" s="1"/>
    </row>
    <row r="3" spans="1:19" ht="30.75" customHeight="1" x14ac:dyDescent="0.25">
      <c r="A3" s="65"/>
      <c r="B3" s="177" t="s">
        <v>483</v>
      </c>
      <c r="C3" s="177"/>
      <c r="D3" s="177"/>
      <c r="E3" s="177"/>
      <c r="F3" s="177"/>
    </row>
    <row r="4" spans="1:19" ht="24" customHeight="1" x14ac:dyDescent="0.25">
      <c r="A4" s="64"/>
      <c r="B4" s="176" t="s">
        <v>485</v>
      </c>
      <c r="C4" s="176"/>
      <c r="D4" s="176"/>
      <c r="E4" s="176"/>
      <c r="F4" s="176"/>
    </row>
    <row r="5" spans="1:19" ht="18" x14ac:dyDescent="0.25">
      <c r="A5" s="8"/>
      <c r="B5" s="174" t="s">
        <v>490</v>
      </c>
      <c r="C5" s="174"/>
      <c r="D5" s="174"/>
      <c r="E5" s="174"/>
      <c r="F5" s="174"/>
    </row>
    <row r="6" spans="1:19" ht="24.75" customHeight="1" x14ac:dyDescent="0.25">
      <c r="A6" s="172" t="s">
        <v>0</v>
      </c>
      <c r="B6" s="178" t="s">
        <v>611</v>
      </c>
      <c r="C6" s="178"/>
      <c r="D6" s="178"/>
      <c r="E6" s="178"/>
      <c r="F6" s="178"/>
      <c r="G6" s="171" t="s">
        <v>612</v>
      </c>
      <c r="H6" s="171"/>
      <c r="I6" s="171"/>
      <c r="J6" s="171"/>
      <c r="K6" s="171"/>
      <c r="L6" s="171"/>
      <c r="M6" s="171"/>
      <c r="N6" s="171"/>
      <c r="O6" s="171"/>
      <c r="P6" s="171"/>
      <c r="Q6" s="171"/>
      <c r="R6" s="171"/>
      <c r="S6" s="171"/>
    </row>
    <row r="7" spans="1:19" s="66" customFormat="1" ht="36.75" customHeight="1" x14ac:dyDescent="0.25">
      <c r="A7" s="173"/>
      <c r="B7" s="152" t="s">
        <v>1</v>
      </c>
      <c r="C7" s="68" t="s">
        <v>3</v>
      </c>
      <c r="D7" s="68" t="s">
        <v>4</v>
      </c>
      <c r="E7" s="68" t="s">
        <v>12</v>
      </c>
      <c r="F7" s="68" t="s">
        <v>13</v>
      </c>
      <c r="G7" s="149" t="s">
        <v>600</v>
      </c>
      <c r="H7" s="150" t="s">
        <v>602</v>
      </c>
      <c r="I7" s="150" t="s">
        <v>601</v>
      </c>
      <c r="J7" s="150" t="s">
        <v>603</v>
      </c>
      <c r="K7" s="150" t="s">
        <v>614</v>
      </c>
      <c r="L7" s="151" t="s">
        <v>604</v>
      </c>
      <c r="M7" s="150" t="s">
        <v>605</v>
      </c>
      <c r="N7" s="150" t="s">
        <v>606</v>
      </c>
      <c r="O7" s="150" t="s">
        <v>607</v>
      </c>
      <c r="P7" s="150" t="s">
        <v>608</v>
      </c>
      <c r="Q7" s="151" t="s">
        <v>609</v>
      </c>
      <c r="R7" s="150" t="s">
        <v>610</v>
      </c>
      <c r="S7" s="150" t="s">
        <v>613</v>
      </c>
    </row>
    <row r="8" spans="1:19" s="18" customFormat="1" ht="24" customHeight="1" x14ac:dyDescent="0.25">
      <c r="A8" s="10" t="s">
        <v>18</v>
      </c>
      <c r="B8" s="11" t="s">
        <v>19</v>
      </c>
      <c r="C8" s="13"/>
      <c r="D8" s="14"/>
      <c r="E8" s="13"/>
      <c r="F8" s="13"/>
      <c r="G8" s="145"/>
      <c r="H8" s="39"/>
      <c r="I8" s="39"/>
      <c r="J8" s="39"/>
      <c r="K8" s="39"/>
      <c r="L8" s="39"/>
      <c r="M8" s="39"/>
      <c r="N8" s="39"/>
      <c r="O8" s="39"/>
      <c r="P8" s="39"/>
      <c r="Q8" s="39"/>
      <c r="R8" s="39"/>
      <c r="S8" s="39"/>
    </row>
    <row r="9" spans="1:19" s="18" customFormat="1" ht="24" customHeight="1" x14ac:dyDescent="0.25">
      <c r="A9" s="19">
        <v>1</v>
      </c>
      <c r="B9" s="20" t="s">
        <v>20</v>
      </c>
      <c r="C9" s="21" t="s">
        <v>21</v>
      </c>
      <c r="D9" s="71" t="s">
        <v>22</v>
      </c>
      <c r="E9" s="19" t="s">
        <v>25</v>
      </c>
      <c r="F9" s="19" t="s">
        <v>26</v>
      </c>
      <c r="G9" s="146" t="s">
        <v>616</v>
      </c>
      <c r="H9" s="34" t="s">
        <v>617</v>
      </c>
      <c r="I9" s="32"/>
      <c r="J9" s="34" t="s">
        <v>622</v>
      </c>
      <c r="K9" s="34" t="s">
        <v>621</v>
      </c>
      <c r="L9" s="34" t="s">
        <v>623</v>
      </c>
      <c r="M9" s="32"/>
      <c r="N9" s="32"/>
      <c r="O9" s="32"/>
      <c r="P9" s="32"/>
      <c r="Q9" s="32"/>
      <c r="R9" s="32"/>
      <c r="S9" s="32"/>
    </row>
    <row r="10" spans="1:19" s="18" customFormat="1" ht="24" customHeight="1" x14ac:dyDescent="0.25">
      <c r="A10" s="19">
        <v>2</v>
      </c>
      <c r="B10" s="20" t="s">
        <v>29</v>
      </c>
      <c r="C10" s="19" t="s">
        <v>21</v>
      </c>
      <c r="D10" s="71" t="s">
        <v>30</v>
      </c>
      <c r="E10" s="19" t="s">
        <v>31</v>
      </c>
      <c r="F10" s="19" t="s">
        <v>32</v>
      </c>
      <c r="G10" s="146" t="s">
        <v>616</v>
      </c>
      <c r="H10" s="146" t="s">
        <v>615</v>
      </c>
      <c r="I10" s="32"/>
      <c r="J10" s="34" t="s">
        <v>622</v>
      </c>
      <c r="K10" s="34" t="s">
        <v>621</v>
      </c>
      <c r="L10" s="32"/>
      <c r="M10" s="32"/>
      <c r="N10" s="32"/>
      <c r="O10" s="32"/>
      <c r="P10" s="32"/>
      <c r="Q10" s="32"/>
      <c r="R10" s="32"/>
      <c r="S10" s="32"/>
    </row>
    <row r="11" spans="1:19" s="31" customFormat="1" ht="24" customHeight="1" x14ac:dyDescent="0.25">
      <c r="A11" s="19">
        <v>3</v>
      </c>
      <c r="B11" s="25" t="s">
        <v>37</v>
      </c>
      <c r="C11" s="26" t="s">
        <v>21</v>
      </c>
      <c r="D11" s="27" t="s">
        <v>38</v>
      </c>
      <c r="E11" s="26" t="s">
        <v>35</v>
      </c>
      <c r="F11" s="26" t="s">
        <v>36</v>
      </c>
      <c r="G11" s="146" t="s">
        <v>618</v>
      </c>
      <c r="H11" s="146" t="s">
        <v>619</v>
      </c>
      <c r="I11" s="35"/>
      <c r="J11" s="34" t="s">
        <v>622</v>
      </c>
      <c r="K11" s="34" t="s">
        <v>621</v>
      </c>
      <c r="L11" s="35"/>
      <c r="M11" s="35"/>
      <c r="N11" s="35"/>
      <c r="O11" s="35"/>
      <c r="P11" s="35"/>
      <c r="Q11" s="35"/>
      <c r="R11" s="35"/>
      <c r="S11" s="35"/>
    </row>
    <row r="12" spans="1:19" s="18" customFormat="1" ht="24" customHeight="1" x14ac:dyDescent="0.25">
      <c r="A12" s="19">
        <v>4</v>
      </c>
      <c r="B12" s="20" t="s">
        <v>40</v>
      </c>
      <c r="C12" s="19" t="s">
        <v>21</v>
      </c>
      <c r="D12" s="71" t="s">
        <v>41</v>
      </c>
      <c r="E12" s="19" t="s">
        <v>35</v>
      </c>
      <c r="F12" s="32" t="s">
        <v>42</v>
      </c>
      <c r="G12" s="33"/>
      <c r="H12" s="147"/>
      <c r="I12" s="32"/>
      <c r="J12" s="32"/>
      <c r="K12" s="32"/>
      <c r="L12" s="32"/>
      <c r="M12" s="32"/>
      <c r="N12" s="32"/>
      <c r="O12" s="32"/>
      <c r="P12" s="32"/>
      <c r="Q12" s="32"/>
      <c r="R12" s="32"/>
      <c r="S12" s="32"/>
    </row>
    <row r="13" spans="1:19" s="18" customFormat="1" ht="24" customHeight="1" x14ac:dyDescent="0.25">
      <c r="A13" s="19">
        <v>5</v>
      </c>
      <c r="B13" s="25" t="s">
        <v>99</v>
      </c>
      <c r="C13" s="26" t="s">
        <v>21</v>
      </c>
      <c r="D13" s="27" t="s">
        <v>100</v>
      </c>
      <c r="E13" s="19" t="s">
        <v>35</v>
      </c>
      <c r="F13" s="19" t="s">
        <v>101</v>
      </c>
      <c r="G13" s="146" t="s">
        <v>624</v>
      </c>
      <c r="H13" s="146" t="s">
        <v>625</v>
      </c>
      <c r="I13" s="32"/>
      <c r="J13" s="34" t="s">
        <v>622</v>
      </c>
      <c r="K13" s="34" t="s">
        <v>621</v>
      </c>
      <c r="L13" s="34" t="s">
        <v>620</v>
      </c>
      <c r="M13" s="32"/>
      <c r="N13" s="32"/>
      <c r="O13" s="32"/>
      <c r="P13" s="32"/>
      <c r="Q13" s="32"/>
      <c r="R13" s="32"/>
      <c r="S13" s="32"/>
    </row>
    <row r="14" spans="1:19" s="18" customFormat="1" ht="24" customHeight="1" x14ac:dyDescent="0.25">
      <c r="A14" s="19">
        <v>6</v>
      </c>
      <c r="B14" s="25" t="s">
        <v>45</v>
      </c>
      <c r="C14" s="26" t="s">
        <v>21</v>
      </c>
      <c r="D14" s="27" t="s">
        <v>46</v>
      </c>
      <c r="E14" s="19" t="s">
        <v>47</v>
      </c>
      <c r="F14" s="35" t="s">
        <v>48</v>
      </c>
      <c r="G14" s="146" t="s">
        <v>626</v>
      </c>
      <c r="H14" s="34" t="s">
        <v>617</v>
      </c>
      <c r="I14" s="32"/>
      <c r="J14" s="34" t="s">
        <v>622</v>
      </c>
      <c r="K14" s="34" t="s">
        <v>621</v>
      </c>
      <c r="L14" s="32"/>
      <c r="M14" s="32"/>
      <c r="N14" s="32"/>
      <c r="O14" s="32"/>
      <c r="P14" s="32"/>
      <c r="Q14" s="32"/>
      <c r="R14" s="32"/>
      <c r="S14" s="32"/>
    </row>
    <row r="15" spans="1:19" s="18" customFormat="1" ht="24" customHeight="1" x14ac:dyDescent="0.25">
      <c r="A15" s="19">
        <v>7</v>
      </c>
      <c r="B15" s="55" t="s">
        <v>50</v>
      </c>
      <c r="C15" s="19" t="s">
        <v>21</v>
      </c>
      <c r="D15" s="71" t="s">
        <v>51</v>
      </c>
      <c r="E15" s="19" t="s">
        <v>53</v>
      </c>
      <c r="F15" s="32" t="s">
        <v>54</v>
      </c>
      <c r="G15" s="146" t="s">
        <v>626</v>
      </c>
      <c r="H15" s="146" t="s">
        <v>619</v>
      </c>
      <c r="I15" s="35"/>
      <c r="J15" s="34" t="s">
        <v>622</v>
      </c>
      <c r="K15" s="34" t="s">
        <v>621</v>
      </c>
      <c r="L15" s="32"/>
      <c r="M15" s="32"/>
      <c r="N15" s="32"/>
      <c r="O15" s="32"/>
      <c r="P15" s="32"/>
      <c r="Q15" s="32"/>
      <c r="R15" s="32"/>
      <c r="S15" s="32"/>
    </row>
    <row r="16" spans="1:19" s="18" customFormat="1" ht="24" customHeight="1" x14ac:dyDescent="0.25">
      <c r="A16" s="19">
        <v>8</v>
      </c>
      <c r="B16" s="72" t="s">
        <v>56</v>
      </c>
      <c r="C16" s="19" t="s">
        <v>21</v>
      </c>
      <c r="D16" s="71" t="s">
        <v>57</v>
      </c>
      <c r="E16" s="19" t="s">
        <v>433</v>
      </c>
      <c r="F16" s="32" t="s">
        <v>451</v>
      </c>
      <c r="G16" s="146" t="s">
        <v>624</v>
      </c>
      <c r="H16" s="146" t="s">
        <v>615</v>
      </c>
      <c r="I16" s="32"/>
      <c r="J16" s="34" t="s">
        <v>622</v>
      </c>
      <c r="K16" s="34" t="s">
        <v>621</v>
      </c>
      <c r="L16" s="32"/>
      <c r="M16" s="32"/>
      <c r="N16" s="32"/>
      <c r="O16" s="32"/>
      <c r="P16" s="32"/>
      <c r="Q16" s="32"/>
      <c r="R16" s="32"/>
      <c r="S16" s="32"/>
    </row>
    <row r="17" spans="1:19" s="18" customFormat="1" ht="24" customHeight="1" x14ac:dyDescent="0.25">
      <c r="A17" s="19">
        <v>9</v>
      </c>
      <c r="B17" s="25" t="s">
        <v>63</v>
      </c>
      <c r="C17" s="26" t="s">
        <v>21</v>
      </c>
      <c r="D17" s="27" t="s">
        <v>64</v>
      </c>
      <c r="E17" s="26" t="s">
        <v>437</v>
      </c>
      <c r="F17" s="32" t="s">
        <v>61</v>
      </c>
      <c r="G17" s="33"/>
      <c r="H17" s="147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</row>
    <row r="18" spans="1:19" s="18" customFormat="1" ht="24" customHeight="1" x14ac:dyDescent="0.25">
      <c r="A18" s="19">
        <v>10</v>
      </c>
      <c r="B18" s="20" t="s">
        <v>66</v>
      </c>
      <c r="C18" s="19" t="s">
        <v>21</v>
      </c>
      <c r="D18" s="71" t="s">
        <v>67</v>
      </c>
      <c r="E18" s="19" t="s">
        <v>433</v>
      </c>
      <c r="F18" s="32" t="s">
        <v>68</v>
      </c>
      <c r="G18" s="146" t="s">
        <v>627</v>
      </c>
      <c r="H18" s="146" t="s">
        <v>619</v>
      </c>
      <c r="I18" s="32"/>
      <c r="J18" s="34" t="s">
        <v>622</v>
      </c>
      <c r="K18" s="34" t="s">
        <v>621</v>
      </c>
      <c r="L18" s="32"/>
      <c r="M18" s="32"/>
      <c r="N18" s="32"/>
      <c r="O18" s="32"/>
      <c r="P18" s="32"/>
      <c r="Q18" s="32"/>
      <c r="R18" s="32"/>
      <c r="S18" s="32"/>
    </row>
    <row r="19" spans="1:19" s="18" customFormat="1" ht="24" customHeight="1" x14ac:dyDescent="0.25">
      <c r="A19" s="19">
        <v>11</v>
      </c>
      <c r="B19" s="20" t="s">
        <v>70</v>
      </c>
      <c r="C19" s="19" t="s">
        <v>21</v>
      </c>
      <c r="D19" s="71" t="s">
        <v>71</v>
      </c>
      <c r="E19" s="19" t="s">
        <v>432</v>
      </c>
      <c r="F19" s="32" t="s">
        <v>171</v>
      </c>
      <c r="G19" s="146" t="s">
        <v>618</v>
      </c>
      <c r="H19" s="34" t="s">
        <v>617</v>
      </c>
      <c r="I19" s="32"/>
      <c r="J19" s="34" t="s">
        <v>622</v>
      </c>
      <c r="K19" s="34" t="s">
        <v>621</v>
      </c>
      <c r="L19" s="32"/>
      <c r="M19" s="32"/>
      <c r="N19" s="32"/>
      <c r="O19" s="32"/>
      <c r="P19" s="32"/>
      <c r="Q19" s="32"/>
      <c r="R19" s="32"/>
      <c r="S19" s="32"/>
    </row>
    <row r="20" spans="1:19" s="31" customFormat="1" ht="24" customHeight="1" x14ac:dyDescent="0.25">
      <c r="A20" s="19">
        <v>12</v>
      </c>
      <c r="B20" s="36" t="s">
        <v>66</v>
      </c>
      <c r="C20" s="26" t="s">
        <v>21</v>
      </c>
      <c r="D20" s="27" t="s">
        <v>73</v>
      </c>
      <c r="E20" s="26" t="s">
        <v>433</v>
      </c>
      <c r="F20" s="35" t="s">
        <v>74</v>
      </c>
      <c r="G20" s="146" t="s">
        <v>627</v>
      </c>
      <c r="H20" s="146" t="s">
        <v>619</v>
      </c>
      <c r="I20" s="35"/>
      <c r="J20" s="35"/>
      <c r="K20" s="35"/>
      <c r="L20" s="35"/>
      <c r="M20" s="35"/>
      <c r="N20" s="35"/>
      <c r="O20" s="35"/>
      <c r="P20" s="35"/>
      <c r="Q20" s="35"/>
      <c r="R20" s="35"/>
      <c r="S20" s="35"/>
    </row>
    <row r="21" spans="1:19" s="18" customFormat="1" ht="24" customHeight="1" x14ac:dyDescent="0.25">
      <c r="A21" s="19">
        <v>13</v>
      </c>
      <c r="B21" s="72" t="s">
        <v>76</v>
      </c>
      <c r="C21" s="19" t="s">
        <v>21</v>
      </c>
      <c r="D21" s="71" t="s">
        <v>77</v>
      </c>
      <c r="E21" s="19" t="s">
        <v>434</v>
      </c>
      <c r="F21" s="32" t="s">
        <v>78</v>
      </c>
      <c r="G21" s="146" t="s">
        <v>627</v>
      </c>
      <c r="H21" s="146" t="s">
        <v>619</v>
      </c>
      <c r="I21" s="32"/>
      <c r="J21" s="32"/>
      <c r="K21" s="32"/>
      <c r="L21" s="32"/>
      <c r="M21" s="32"/>
      <c r="N21" s="32"/>
      <c r="O21" s="32"/>
      <c r="P21" s="32"/>
      <c r="Q21" s="32"/>
      <c r="R21" s="32"/>
      <c r="S21" s="32"/>
    </row>
    <row r="22" spans="1:19" s="18" customFormat="1" ht="24" customHeight="1" x14ac:dyDescent="0.25">
      <c r="A22" s="19">
        <v>14</v>
      </c>
      <c r="B22" s="72" t="s">
        <v>79</v>
      </c>
      <c r="C22" s="19" t="s">
        <v>21</v>
      </c>
      <c r="D22" s="71" t="s">
        <v>80</v>
      </c>
      <c r="E22" s="19" t="s">
        <v>435</v>
      </c>
      <c r="F22" s="32" t="s">
        <v>579</v>
      </c>
      <c r="G22" s="146" t="s">
        <v>627</v>
      </c>
      <c r="H22" s="146" t="s">
        <v>619</v>
      </c>
      <c r="I22" s="32"/>
      <c r="J22" s="32"/>
      <c r="K22" s="32"/>
      <c r="L22" s="32"/>
      <c r="M22" s="32"/>
      <c r="N22" s="32"/>
      <c r="O22" s="32"/>
      <c r="P22" s="32"/>
      <c r="Q22" s="32"/>
      <c r="R22" s="32"/>
      <c r="S22" s="32"/>
    </row>
    <row r="23" spans="1:19" s="18" customFormat="1" ht="24" customHeight="1" x14ac:dyDescent="0.25">
      <c r="A23" s="19">
        <v>15</v>
      </c>
      <c r="B23" s="25" t="s">
        <v>81</v>
      </c>
      <c r="C23" s="26" t="s">
        <v>21</v>
      </c>
      <c r="D23" s="27" t="s">
        <v>82</v>
      </c>
      <c r="E23" s="26" t="s">
        <v>167</v>
      </c>
      <c r="F23" s="35" t="s">
        <v>83</v>
      </c>
      <c r="G23" s="146" t="s">
        <v>626</v>
      </c>
      <c r="H23" s="34" t="s">
        <v>617</v>
      </c>
      <c r="I23" s="32"/>
      <c r="J23" s="32"/>
      <c r="K23" s="32"/>
      <c r="L23" s="32"/>
      <c r="M23" s="32"/>
      <c r="N23" s="32"/>
      <c r="O23" s="32"/>
      <c r="P23" s="32"/>
      <c r="Q23" s="32"/>
      <c r="R23" s="32"/>
      <c r="S23" s="32"/>
    </row>
    <row r="24" spans="1:19" s="18" customFormat="1" ht="24" customHeight="1" x14ac:dyDescent="0.25">
      <c r="A24" s="19">
        <v>16</v>
      </c>
      <c r="B24" s="25" t="s">
        <v>85</v>
      </c>
      <c r="C24" s="26" t="s">
        <v>21</v>
      </c>
      <c r="D24" s="27" t="s">
        <v>86</v>
      </c>
      <c r="E24" s="26" t="s">
        <v>433</v>
      </c>
      <c r="F24" s="35" t="s">
        <v>87</v>
      </c>
      <c r="G24" s="146" t="s">
        <v>626</v>
      </c>
      <c r="H24" s="146" t="s">
        <v>619</v>
      </c>
      <c r="I24" s="32"/>
      <c r="J24" s="34" t="s">
        <v>622</v>
      </c>
      <c r="K24" s="34" t="s">
        <v>621</v>
      </c>
      <c r="L24" s="32"/>
      <c r="M24" s="32"/>
      <c r="N24" s="32"/>
      <c r="O24" s="32"/>
      <c r="P24" s="32"/>
      <c r="Q24" s="32"/>
      <c r="R24" s="32"/>
      <c r="S24" s="32"/>
    </row>
    <row r="25" spans="1:19" s="18" customFormat="1" ht="24" customHeight="1" x14ac:dyDescent="0.25">
      <c r="A25" s="19">
        <v>17</v>
      </c>
      <c r="B25" s="25" t="s">
        <v>89</v>
      </c>
      <c r="C25" s="26" t="s">
        <v>21</v>
      </c>
      <c r="D25" s="27" t="s">
        <v>90</v>
      </c>
      <c r="E25" s="19" t="s">
        <v>435</v>
      </c>
      <c r="F25" s="35" t="s">
        <v>658</v>
      </c>
      <c r="G25" s="146" t="s">
        <v>626</v>
      </c>
      <c r="H25" s="146" t="s">
        <v>619</v>
      </c>
      <c r="I25" s="32"/>
      <c r="J25" s="34" t="s">
        <v>622</v>
      </c>
      <c r="K25" s="34" t="s">
        <v>621</v>
      </c>
      <c r="L25" s="32"/>
      <c r="M25" s="32"/>
      <c r="N25" s="32"/>
      <c r="O25" s="32"/>
      <c r="P25" s="32"/>
      <c r="Q25" s="32"/>
      <c r="R25" s="32"/>
      <c r="S25" s="32"/>
    </row>
    <row r="26" spans="1:19" s="18" customFormat="1" ht="24" customHeight="1" x14ac:dyDescent="0.25">
      <c r="A26" s="19">
        <v>18</v>
      </c>
      <c r="B26" s="25" t="s">
        <v>91</v>
      </c>
      <c r="C26" s="26" t="s">
        <v>21</v>
      </c>
      <c r="D26" s="27" t="s">
        <v>92</v>
      </c>
      <c r="E26" s="19" t="s">
        <v>310</v>
      </c>
      <c r="F26" s="35" t="s">
        <v>93</v>
      </c>
      <c r="G26" s="146" t="s">
        <v>626</v>
      </c>
      <c r="H26" s="146" t="s">
        <v>619</v>
      </c>
      <c r="I26" s="32"/>
      <c r="J26" s="34" t="s">
        <v>622</v>
      </c>
      <c r="K26" s="34" t="s">
        <v>621</v>
      </c>
      <c r="L26" s="32"/>
      <c r="M26" s="32"/>
      <c r="N26" s="32"/>
      <c r="O26" s="32"/>
      <c r="P26" s="32"/>
      <c r="Q26" s="32"/>
      <c r="R26" s="32"/>
      <c r="S26" s="32"/>
    </row>
    <row r="27" spans="1:19" s="18" customFormat="1" ht="24" customHeight="1" x14ac:dyDescent="0.25">
      <c r="A27" s="19">
        <v>19</v>
      </c>
      <c r="B27" s="25" t="s">
        <v>94</v>
      </c>
      <c r="C27" s="26" t="s">
        <v>21</v>
      </c>
      <c r="D27" s="27" t="s">
        <v>95</v>
      </c>
      <c r="E27" s="19" t="s">
        <v>219</v>
      </c>
      <c r="F27" s="35" t="s">
        <v>96</v>
      </c>
      <c r="G27" s="146" t="s">
        <v>626</v>
      </c>
      <c r="H27" s="146" t="s">
        <v>615</v>
      </c>
      <c r="I27" s="32"/>
      <c r="J27" s="34" t="s">
        <v>622</v>
      </c>
      <c r="K27" s="34" t="s">
        <v>621</v>
      </c>
      <c r="L27" s="32"/>
      <c r="M27" s="32"/>
      <c r="N27" s="32"/>
      <c r="O27" s="32"/>
      <c r="P27" s="32"/>
      <c r="Q27" s="32"/>
      <c r="R27" s="32"/>
      <c r="S27" s="32"/>
    </row>
    <row r="28" spans="1:19" s="18" customFormat="1" ht="24" customHeight="1" x14ac:dyDescent="0.25">
      <c r="A28" s="19">
        <v>20</v>
      </c>
      <c r="B28" s="25" t="s">
        <v>664</v>
      </c>
      <c r="C28" s="26" t="s">
        <v>21</v>
      </c>
      <c r="D28" s="27" t="s">
        <v>665</v>
      </c>
      <c r="E28" s="19" t="s">
        <v>669</v>
      </c>
      <c r="F28" s="35" t="s">
        <v>666</v>
      </c>
      <c r="G28" s="146" t="s">
        <v>672</v>
      </c>
      <c r="H28" s="146"/>
      <c r="I28" s="32"/>
      <c r="J28" s="34"/>
      <c r="K28" s="34"/>
      <c r="L28" s="32"/>
      <c r="M28" s="32"/>
      <c r="N28" s="32"/>
      <c r="O28" s="32"/>
      <c r="P28" s="32"/>
      <c r="Q28" s="32"/>
      <c r="R28" s="32"/>
      <c r="S28" s="32"/>
    </row>
    <row r="29" spans="1:19" s="18" customFormat="1" ht="24" customHeight="1" x14ac:dyDescent="0.25">
      <c r="A29" s="19">
        <v>21</v>
      </c>
      <c r="B29" s="25" t="s">
        <v>678</v>
      </c>
      <c r="C29" s="26" t="s">
        <v>21</v>
      </c>
      <c r="D29" s="27" t="s">
        <v>679</v>
      </c>
      <c r="E29" s="19" t="s">
        <v>669</v>
      </c>
      <c r="F29" s="35" t="s">
        <v>680</v>
      </c>
      <c r="G29" s="146" t="s">
        <v>624</v>
      </c>
      <c r="H29" s="146"/>
      <c r="I29" s="32"/>
      <c r="J29" s="34"/>
      <c r="K29" s="34"/>
      <c r="L29" s="32"/>
      <c r="M29" s="32"/>
      <c r="N29" s="32"/>
      <c r="O29" s="32"/>
      <c r="P29" s="32"/>
      <c r="Q29" s="32"/>
      <c r="R29" s="32"/>
      <c r="S29" s="32"/>
    </row>
    <row r="30" spans="1:19" s="18" customFormat="1" ht="24" customHeight="1" x14ac:dyDescent="0.25">
      <c r="A30" s="19">
        <v>22</v>
      </c>
      <c r="B30" s="25" t="s">
        <v>678</v>
      </c>
      <c r="C30" s="26" t="s">
        <v>21</v>
      </c>
      <c r="D30" s="27" t="s">
        <v>679</v>
      </c>
      <c r="E30" s="19" t="s">
        <v>669</v>
      </c>
      <c r="F30" s="35" t="s">
        <v>681</v>
      </c>
      <c r="G30" s="146" t="s">
        <v>624</v>
      </c>
      <c r="H30" s="146"/>
      <c r="I30" s="32"/>
      <c r="J30" s="34"/>
      <c r="K30" s="34"/>
      <c r="L30" s="32"/>
      <c r="M30" s="32"/>
      <c r="N30" s="32"/>
      <c r="O30" s="32"/>
      <c r="P30" s="32"/>
      <c r="Q30" s="32"/>
      <c r="R30" s="32"/>
      <c r="S30" s="32"/>
    </row>
    <row r="31" spans="1:19" s="18" customFormat="1" ht="24" customHeight="1" x14ac:dyDescent="0.25">
      <c r="A31" s="19">
        <v>23</v>
      </c>
      <c r="B31" s="25" t="s">
        <v>678</v>
      </c>
      <c r="C31" s="26" t="s">
        <v>21</v>
      </c>
      <c r="D31" s="27" t="s">
        <v>679</v>
      </c>
      <c r="E31" s="19" t="s">
        <v>669</v>
      </c>
      <c r="F31" s="35" t="s">
        <v>682</v>
      </c>
      <c r="G31" s="146" t="s">
        <v>624</v>
      </c>
      <c r="H31" s="146"/>
      <c r="I31" s="32"/>
      <c r="J31" s="34"/>
      <c r="K31" s="34"/>
      <c r="L31" s="32"/>
      <c r="M31" s="32"/>
      <c r="N31" s="32"/>
      <c r="O31" s="32"/>
      <c r="P31" s="32"/>
      <c r="Q31" s="32"/>
      <c r="R31" s="32"/>
      <c r="S31" s="32"/>
    </row>
    <row r="32" spans="1:19" s="18" customFormat="1" ht="24" customHeight="1" x14ac:dyDescent="0.25">
      <c r="A32" s="19">
        <v>24</v>
      </c>
      <c r="B32" s="25" t="s">
        <v>678</v>
      </c>
      <c r="C32" s="26" t="s">
        <v>21</v>
      </c>
      <c r="D32" s="27" t="s">
        <v>679</v>
      </c>
      <c r="E32" s="19" t="s">
        <v>669</v>
      </c>
      <c r="F32" s="35"/>
      <c r="G32" s="146" t="s">
        <v>624</v>
      </c>
      <c r="H32" s="146"/>
      <c r="I32" s="32"/>
      <c r="J32" s="34"/>
      <c r="K32" s="34"/>
      <c r="L32" s="32"/>
      <c r="M32" s="32"/>
      <c r="N32" s="32"/>
      <c r="O32" s="32"/>
      <c r="P32" s="32"/>
      <c r="Q32" s="32"/>
      <c r="R32" s="32"/>
      <c r="S32" s="32"/>
    </row>
    <row r="33" spans="1:19" s="18" customFormat="1" ht="24" customHeight="1" x14ac:dyDescent="0.25">
      <c r="A33" s="10" t="s">
        <v>102</v>
      </c>
      <c r="B33" s="11" t="s">
        <v>103</v>
      </c>
      <c r="C33" s="13"/>
      <c r="D33" s="14"/>
      <c r="E33" s="13"/>
      <c r="F33" s="39"/>
      <c r="G33" s="40"/>
      <c r="H33" s="145"/>
      <c r="I33" s="39"/>
      <c r="J33" s="39"/>
      <c r="K33" s="39"/>
      <c r="L33" s="39"/>
      <c r="M33" s="39"/>
      <c r="N33" s="39"/>
      <c r="O33" s="39"/>
      <c r="P33" s="39"/>
      <c r="Q33" s="39"/>
      <c r="R33" s="39"/>
      <c r="S33" s="39"/>
    </row>
    <row r="34" spans="1:19" s="18" customFormat="1" ht="24" customHeight="1" x14ac:dyDescent="0.25">
      <c r="A34" s="26">
        <v>1</v>
      </c>
      <c r="B34" s="36" t="s">
        <v>212</v>
      </c>
      <c r="C34" s="26" t="s">
        <v>213</v>
      </c>
      <c r="D34" s="43" t="s">
        <v>214</v>
      </c>
      <c r="E34" s="26" t="s">
        <v>215</v>
      </c>
      <c r="F34" s="35" t="s">
        <v>216</v>
      </c>
      <c r="G34" s="146" t="s">
        <v>627</v>
      </c>
      <c r="H34" s="146" t="s">
        <v>619</v>
      </c>
      <c r="I34" s="32"/>
      <c r="J34" s="34" t="s">
        <v>622</v>
      </c>
      <c r="K34" s="34" t="s">
        <v>621</v>
      </c>
      <c r="L34" s="34" t="s">
        <v>628</v>
      </c>
      <c r="M34" s="32"/>
      <c r="N34" s="32"/>
      <c r="O34" s="32"/>
      <c r="P34" s="32"/>
      <c r="Q34" s="32"/>
      <c r="R34" s="32"/>
      <c r="S34" s="32"/>
    </row>
    <row r="35" spans="1:19" s="18" customFormat="1" ht="24" customHeight="1" x14ac:dyDescent="0.25">
      <c r="A35" s="26">
        <v>2</v>
      </c>
      <c r="B35" s="36" t="s">
        <v>189</v>
      </c>
      <c r="C35" s="26" t="s">
        <v>104</v>
      </c>
      <c r="D35" s="43" t="s">
        <v>190</v>
      </c>
      <c r="E35" s="26" t="s">
        <v>192</v>
      </c>
      <c r="F35" s="35" t="s">
        <v>58</v>
      </c>
      <c r="G35" s="146" t="s">
        <v>627</v>
      </c>
      <c r="H35" s="146" t="s">
        <v>619</v>
      </c>
      <c r="I35" s="32"/>
      <c r="J35" s="34" t="s">
        <v>622</v>
      </c>
      <c r="K35" s="34" t="s">
        <v>621</v>
      </c>
      <c r="L35" s="34" t="s">
        <v>628</v>
      </c>
      <c r="M35" s="32"/>
      <c r="N35" s="32"/>
      <c r="O35" s="32"/>
      <c r="P35" s="32"/>
      <c r="Q35" s="32"/>
      <c r="R35" s="32"/>
      <c r="S35" s="32"/>
    </row>
    <row r="36" spans="1:19" s="18" customFormat="1" ht="24" customHeight="1" x14ac:dyDescent="0.25">
      <c r="A36" s="26">
        <v>3</v>
      </c>
      <c r="B36" s="36" t="s">
        <v>128</v>
      </c>
      <c r="C36" s="26" t="s">
        <v>104</v>
      </c>
      <c r="D36" s="43" t="s">
        <v>193</v>
      </c>
      <c r="E36" s="26" t="s">
        <v>447</v>
      </c>
      <c r="F36" s="35" t="s">
        <v>448</v>
      </c>
      <c r="G36" s="146" t="s">
        <v>629</v>
      </c>
      <c r="H36" s="146"/>
      <c r="I36" s="32"/>
      <c r="J36" s="34" t="s">
        <v>622</v>
      </c>
      <c r="K36" s="34" t="s">
        <v>621</v>
      </c>
      <c r="L36" s="34"/>
      <c r="M36" s="32"/>
      <c r="N36" s="32"/>
      <c r="O36" s="32"/>
      <c r="P36" s="32"/>
      <c r="Q36" s="32"/>
      <c r="R36" s="32"/>
      <c r="S36" s="32"/>
    </row>
    <row r="37" spans="1:19" s="18" customFormat="1" ht="24" customHeight="1" x14ac:dyDescent="0.25">
      <c r="A37" s="26">
        <v>4</v>
      </c>
      <c r="B37" s="20" t="s">
        <v>630</v>
      </c>
      <c r="C37" s="19" t="s">
        <v>104</v>
      </c>
      <c r="D37" s="42" t="s">
        <v>438</v>
      </c>
      <c r="E37" s="19" t="s">
        <v>127</v>
      </c>
      <c r="F37" s="32" t="s">
        <v>107</v>
      </c>
      <c r="G37" s="146" t="s">
        <v>618</v>
      </c>
      <c r="H37" s="146" t="s">
        <v>619</v>
      </c>
      <c r="I37" s="35"/>
      <c r="J37" s="34" t="s">
        <v>622</v>
      </c>
      <c r="K37" s="34" t="s">
        <v>621</v>
      </c>
      <c r="L37" s="32"/>
      <c r="M37" s="32"/>
      <c r="N37" s="32"/>
      <c r="O37" s="32"/>
      <c r="P37" s="32"/>
      <c r="Q37" s="32"/>
      <c r="R37" s="32"/>
      <c r="S37" s="32"/>
    </row>
    <row r="38" spans="1:19" s="18" customFormat="1" ht="24" customHeight="1" x14ac:dyDescent="0.25">
      <c r="A38" s="26">
        <v>5</v>
      </c>
      <c r="B38" s="36" t="s">
        <v>125</v>
      </c>
      <c r="C38" s="26" t="s">
        <v>104</v>
      </c>
      <c r="D38" s="42" t="s">
        <v>126</v>
      </c>
      <c r="E38" s="26" t="s">
        <v>127</v>
      </c>
      <c r="F38" s="35" t="s">
        <v>436</v>
      </c>
      <c r="G38" s="146" t="s">
        <v>624</v>
      </c>
      <c r="H38" s="146" t="s">
        <v>615</v>
      </c>
      <c r="I38" s="32"/>
      <c r="J38" s="34" t="s">
        <v>622</v>
      </c>
      <c r="K38" s="34" t="s">
        <v>621</v>
      </c>
      <c r="L38" s="32"/>
      <c r="M38" s="32"/>
      <c r="N38" s="32"/>
      <c r="O38" s="32"/>
      <c r="P38" s="32"/>
      <c r="Q38" s="32"/>
      <c r="R38" s="32"/>
      <c r="S38" s="32"/>
    </row>
    <row r="39" spans="1:19" s="18" customFormat="1" ht="24" customHeight="1" x14ac:dyDescent="0.25">
      <c r="A39" s="26">
        <v>6</v>
      </c>
      <c r="B39" s="36" t="s">
        <v>165</v>
      </c>
      <c r="C39" s="26" t="s">
        <v>104</v>
      </c>
      <c r="D39" s="43" t="s">
        <v>166</v>
      </c>
      <c r="E39" s="26" t="s">
        <v>167</v>
      </c>
      <c r="F39" s="35" t="s">
        <v>83</v>
      </c>
      <c r="G39" s="146" t="s">
        <v>618</v>
      </c>
      <c r="H39" s="34" t="s">
        <v>617</v>
      </c>
      <c r="I39" s="35"/>
      <c r="J39" s="34" t="s">
        <v>622</v>
      </c>
      <c r="K39" s="34" t="s">
        <v>621</v>
      </c>
      <c r="L39" s="32"/>
      <c r="M39" s="32"/>
      <c r="N39" s="32"/>
      <c r="O39" s="32"/>
      <c r="P39" s="32"/>
      <c r="Q39" s="32"/>
      <c r="R39" s="32"/>
      <c r="S39" s="32"/>
    </row>
    <row r="40" spans="1:19" s="18" customFormat="1" ht="24" customHeight="1" x14ac:dyDescent="0.25">
      <c r="A40" s="26">
        <v>7</v>
      </c>
      <c r="B40" s="36" t="s">
        <v>169</v>
      </c>
      <c r="C40" s="26" t="s">
        <v>104</v>
      </c>
      <c r="D40" s="43" t="s">
        <v>439</v>
      </c>
      <c r="E40" s="26" t="s">
        <v>167</v>
      </c>
      <c r="F40" s="35" t="s">
        <v>171</v>
      </c>
      <c r="G40" s="146" t="s">
        <v>616</v>
      </c>
      <c r="H40" s="34" t="s">
        <v>617</v>
      </c>
      <c r="I40" s="32"/>
      <c r="J40" s="34" t="s">
        <v>622</v>
      </c>
      <c r="K40" s="34" t="s">
        <v>621</v>
      </c>
      <c r="L40" s="32"/>
      <c r="M40" s="32"/>
      <c r="N40" s="32"/>
      <c r="O40" s="32"/>
      <c r="P40" s="32"/>
      <c r="Q40" s="32"/>
      <c r="R40" s="32"/>
      <c r="S40" s="32"/>
    </row>
    <row r="41" spans="1:19" s="18" customFormat="1" ht="24" customHeight="1" x14ac:dyDescent="0.25">
      <c r="A41" s="26">
        <v>8</v>
      </c>
      <c r="B41" s="36" t="s">
        <v>124</v>
      </c>
      <c r="C41" s="26" t="s">
        <v>104</v>
      </c>
      <c r="D41" s="43" t="s">
        <v>480</v>
      </c>
      <c r="E41" s="26" t="s">
        <v>167</v>
      </c>
      <c r="F41" s="35" t="s">
        <v>177</v>
      </c>
      <c r="G41" s="146" t="s">
        <v>631</v>
      </c>
      <c r="H41" s="34" t="s">
        <v>617</v>
      </c>
      <c r="I41" s="35"/>
      <c r="J41" s="34" t="s">
        <v>622</v>
      </c>
      <c r="K41" s="34" t="s">
        <v>621</v>
      </c>
      <c r="L41" s="32"/>
      <c r="M41" s="32"/>
      <c r="N41" s="32"/>
      <c r="O41" s="32"/>
      <c r="P41" s="32"/>
      <c r="Q41" s="32"/>
      <c r="R41" s="32"/>
      <c r="S41" s="32"/>
    </row>
    <row r="42" spans="1:19" s="18" customFormat="1" ht="24" customHeight="1" x14ac:dyDescent="0.25">
      <c r="A42" s="26">
        <v>9</v>
      </c>
      <c r="B42" s="36" t="s">
        <v>185</v>
      </c>
      <c r="C42" s="26" t="s">
        <v>104</v>
      </c>
      <c r="D42" s="43" t="s">
        <v>186</v>
      </c>
      <c r="E42" s="26" t="s">
        <v>167</v>
      </c>
      <c r="F42" s="26" t="s">
        <v>187</v>
      </c>
      <c r="G42" s="146" t="s">
        <v>624</v>
      </c>
      <c r="H42" s="34" t="s">
        <v>617</v>
      </c>
      <c r="I42" s="32"/>
      <c r="J42" s="34" t="s">
        <v>622</v>
      </c>
      <c r="K42" s="34" t="s">
        <v>621</v>
      </c>
      <c r="L42" s="32"/>
      <c r="M42" s="32"/>
      <c r="N42" s="32"/>
      <c r="O42" s="32"/>
      <c r="P42" s="32"/>
      <c r="Q42" s="32"/>
      <c r="R42" s="32"/>
      <c r="S42" s="32"/>
    </row>
    <row r="43" spans="1:19" s="18" customFormat="1" ht="24" customHeight="1" x14ac:dyDescent="0.25">
      <c r="A43" s="26">
        <v>10</v>
      </c>
      <c r="B43" s="20" t="s">
        <v>109</v>
      </c>
      <c r="C43" s="19" t="s">
        <v>104</v>
      </c>
      <c r="D43" s="42" t="s">
        <v>110</v>
      </c>
      <c r="E43" s="19" t="s">
        <v>167</v>
      </c>
      <c r="F43" s="32" t="s">
        <v>112</v>
      </c>
      <c r="G43" s="146" t="s">
        <v>627</v>
      </c>
      <c r="H43" s="146" t="s">
        <v>619</v>
      </c>
      <c r="I43" s="32"/>
      <c r="J43" s="34" t="s">
        <v>622</v>
      </c>
      <c r="K43" s="34" t="s">
        <v>621</v>
      </c>
      <c r="L43" s="32"/>
      <c r="M43" s="32"/>
      <c r="N43" s="32"/>
      <c r="O43" s="32"/>
      <c r="P43" s="32"/>
      <c r="Q43" s="32"/>
      <c r="R43" s="32"/>
      <c r="S43" s="32"/>
    </row>
    <row r="44" spans="1:19" s="18" customFormat="1" ht="24" customHeight="1" x14ac:dyDescent="0.25">
      <c r="A44" s="26">
        <v>11</v>
      </c>
      <c r="B44" s="36" t="s">
        <v>173</v>
      </c>
      <c r="C44" s="26" t="s">
        <v>104</v>
      </c>
      <c r="D44" s="43" t="s">
        <v>174</v>
      </c>
      <c r="E44" s="26" t="s">
        <v>176</v>
      </c>
      <c r="F44" s="26" t="s">
        <v>442</v>
      </c>
      <c r="G44" s="146" t="s">
        <v>632</v>
      </c>
      <c r="H44" s="34" t="s">
        <v>617</v>
      </c>
      <c r="I44" s="32"/>
      <c r="J44" s="34" t="s">
        <v>622</v>
      </c>
      <c r="K44" s="34" t="s">
        <v>621</v>
      </c>
      <c r="L44" s="32"/>
      <c r="M44" s="32"/>
      <c r="N44" s="32"/>
      <c r="O44" s="32"/>
      <c r="P44" s="32"/>
      <c r="Q44" s="32"/>
      <c r="R44" s="32"/>
      <c r="S44" s="32"/>
    </row>
    <row r="45" spans="1:19" s="18" customFormat="1" ht="24" customHeight="1" x14ac:dyDescent="0.25">
      <c r="A45" s="26">
        <v>12</v>
      </c>
      <c r="B45" s="36" t="s">
        <v>217</v>
      </c>
      <c r="C45" s="26" t="s">
        <v>104</v>
      </c>
      <c r="D45" s="43" t="s">
        <v>218</v>
      </c>
      <c r="E45" s="26" t="s">
        <v>219</v>
      </c>
      <c r="F45" s="35" t="s">
        <v>96</v>
      </c>
      <c r="G45" s="146" t="s">
        <v>633</v>
      </c>
      <c r="H45" s="34" t="s">
        <v>634</v>
      </c>
      <c r="I45" s="32"/>
      <c r="J45" s="34" t="s">
        <v>622</v>
      </c>
      <c r="K45" s="34" t="s">
        <v>621</v>
      </c>
      <c r="L45" s="32"/>
      <c r="M45" s="32"/>
      <c r="N45" s="32"/>
      <c r="O45" s="32"/>
      <c r="P45" s="32"/>
      <c r="Q45" s="32"/>
      <c r="R45" s="32"/>
      <c r="S45" s="32"/>
    </row>
    <row r="46" spans="1:19" s="18" customFormat="1" ht="24" customHeight="1" x14ac:dyDescent="0.25">
      <c r="A46" s="26">
        <v>13</v>
      </c>
      <c r="B46" s="36" t="s">
        <v>179</v>
      </c>
      <c r="C46" s="26" t="s">
        <v>104</v>
      </c>
      <c r="D46" s="43" t="s">
        <v>180</v>
      </c>
      <c r="E46" s="26" t="s">
        <v>219</v>
      </c>
      <c r="F46" s="35" t="s">
        <v>181</v>
      </c>
      <c r="G46" s="146" t="s">
        <v>631</v>
      </c>
      <c r="H46" s="34" t="s">
        <v>617</v>
      </c>
      <c r="I46" s="32"/>
      <c r="J46" s="34" t="s">
        <v>622</v>
      </c>
      <c r="K46" s="34" t="s">
        <v>621</v>
      </c>
      <c r="L46" s="32"/>
      <c r="M46" s="32"/>
      <c r="N46" s="32"/>
      <c r="O46" s="32"/>
      <c r="P46" s="32"/>
      <c r="Q46" s="32"/>
      <c r="R46" s="32"/>
      <c r="S46" s="32"/>
    </row>
    <row r="47" spans="1:19" s="18" customFormat="1" ht="24" customHeight="1" x14ac:dyDescent="0.25">
      <c r="A47" s="26">
        <v>14</v>
      </c>
      <c r="B47" s="36" t="s">
        <v>130</v>
      </c>
      <c r="C47" s="26" t="s">
        <v>104</v>
      </c>
      <c r="D47" s="43" t="s">
        <v>131</v>
      </c>
      <c r="E47" s="26" t="s">
        <v>219</v>
      </c>
      <c r="F47" s="35" t="s">
        <v>133</v>
      </c>
      <c r="G47" s="146" t="s">
        <v>627</v>
      </c>
      <c r="H47" s="146" t="s">
        <v>619</v>
      </c>
      <c r="I47" s="32"/>
      <c r="J47" s="34" t="s">
        <v>622</v>
      </c>
      <c r="K47" s="34" t="s">
        <v>621</v>
      </c>
      <c r="L47" s="32"/>
      <c r="M47" s="32"/>
      <c r="N47" s="32"/>
      <c r="O47" s="32"/>
      <c r="P47" s="32"/>
      <c r="Q47" s="32"/>
      <c r="R47" s="32"/>
      <c r="S47" s="32"/>
    </row>
    <row r="48" spans="1:19" s="18" customFormat="1" ht="24" customHeight="1" x14ac:dyDescent="0.25">
      <c r="A48" s="26">
        <v>15</v>
      </c>
      <c r="B48" s="51" t="s">
        <v>118</v>
      </c>
      <c r="C48" s="44" t="s">
        <v>104</v>
      </c>
      <c r="D48" s="52" t="s">
        <v>195</v>
      </c>
      <c r="E48" s="44" t="s">
        <v>310</v>
      </c>
      <c r="F48" s="48" t="s">
        <v>75</v>
      </c>
      <c r="G48" s="146" t="s">
        <v>633</v>
      </c>
      <c r="H48" s="34" t="s">
        <v>617</v>
      </c>
      <c r="I48" s="32"/>
      <c r="J48" s="34" t="s">
        <v>622</v>
      </c>
      <c r="K48" s="34" t="s">
        <v>621</v>
      </c>
      <c r="L48" s="32"/>
      <c r="M48" s="32"/>
      <c r="N48" s="32"/>
      <c r="O48" s="32"/>
      <c r="P48" s="32"/>
      <c r="Q48" s="32"/>
      <c r="R48" s="32"/>
      <c r="S48" s="32"/>
    </row>
    <row r="49" spans="1:19" s="18" customFormat="1" ht="24" customHeight="1" x14ac:dyDescent="0.25">
      <c r="A49" s="26">
        <v>16</v>
      </c>
      <c r="B49" s="36" t="s">
        <v>123</v>
      </c>
      <c r="C49" s="26" t="s">
        <v>104</v>
      </c>
      <c r="D49" s="43" t="s">
        <v>199</v>
      </c>
      <c r="E49" s="44" t="s">
        <v>310</v>
      </c>
      <c r="F49" s="35" t="s">
        <v>200</v>
      </c>
      <c r="G49" s="146" t="s">
        <v>627</v>
      </c>
      <c r="H49" s="146" t="s">
        <v>619</v>
      </c>
      <c r="I49" s="32"/>
      <c r="J49" s="34" t="s">
        <v>622</v>
      </c>
      <c r="K49" s="34" t="s">
        <v>621</v>
      </c>
      <c r="L49" s="32"/>
      <c r="M49" s="32"/>
      <c r="N49" s="32"/>
      <c r="O49" s="32"/>
      <c r="P49" s="32"/>
      <c r="Q49" s="32"/>
      <c r="R49" s="32"/>
      <c r="S49" s="32"/>
    </row>
    <row r="50" spans="1:19" s="18" customFormat="1" ht="24" customHeight="1" x14ac:dyDescent="0.25">
      <c r="A50" s="26">
        <v>17</v>
      </c>
      <c r="B50" s="36" t="s">
        <v>205</v>
      </c>
      <c r="C50" s="26" t="s">
        <v>104</v>
      </c>
      <c r="D50" s="43" t="s">
        <v>206</v>
      </c>
      <c r="E50" s="19" t="s">
        <v>435</v>
      </c>
      <c r="F50" s="35" t="s">
        <v>208</v>
      </c>
      <c r="G50" s="146" t="s">
        <v>633</v>
      </c>
      <c r="H50" s="34" t="s">
        <v>635</v>
      </c>
      <c r="I50" s="32"/>
      <c r="J50" s="34" t="s">
        <v>622</v>
      </c>
      <c r="K50" s="34" t="s">
        <v>621</v>
      </c>
      <c r="L50" s="32"/>
      <c r="M50" s="34" t="s">
        <v>636</v>
      </c>
      <c r="N50" s="34" t="s">
        <v>637</v>
      </c>
      <c r="O50" s="32"/>
      <c r="P50" s="32"/>
      <c r="Q50" s="32"/>
      <c r="R50" s="34" t="s">
        <v>638</v>
      </c>
      <c r="S50" s="32"/>
    </row>
    <row r="51" spans="1:19" s="18" customFormat="1" ht="24" customHeight="1" x14ac:dyDescent="0.25">
      <c r="A51" s="26">
        <v>18</v>
      </c>
      <c r="B51" s="36" t="s">
        <v>209</v>
      </c>
      <c r="C51" s="26" t="s">
        <v>104</v>
      </c>
      <c r="D51" s="43" t="s">
        <v>210</v>
      </c>
      <c r="E51" s="19" t="s">
        <v>435</v>
      </c>
      <c r="F51" s="35" t="s">
        <v>211</v>
      </c>
      <c r="G51" s="146" t="s">
        <v>633</v>
      </c>
      <c r="H51" s="34" t="s">
        <v>635</v>
      </c>
      <c r="I51" s="32"/>
      <c r="J51" s="34" t="s">
        <v>622</v>
      </c>
      <c r="K51" s="34" t="s">
        <v>621</v>
      </c>
      <c r="L51" s="32"/>
      <c r="M51" s="34" t="s">
        <v>636</v>
      </c>
      <c r="N51" s="34" t="s">
        <v>637</v>
      </c>
      <c r="O51" s="32"/>
      <c r="P51" s="32"/>
      <c r="Q51" s="32"/>
      <c r="R51" s="34" t="s">
        <v>638</v>
      </c>
      <c r="S51" s="32"/>
    </row>
    <row r="52" spans="1:19" s="18" customFormat="1" ht="24" customHeight="1" x14ac:dyDescent="0.25">
      <c r="A52" s="26">
        <v>19</v>
      </c>
      <c r="B52" s="36" t="s">
        <v>120</v>
      </c>
      <c r="C52" s="26" t="s">
        <v>104</v>
      </c>
      <c r="D52" s="43" t="s">
        <v>121</v>
      </c>
      <c r="E52" s="19" t="s">
        <v>435</v>
      </c>
      <c r="F52" s="35" t="s">
        <v>122</v>
      </c>
      <c r="G52" s="146" t="s">
        <v>626</v>
      </c>
      <c r="H52" s="146" t="s">
        <v>619</v>
      </c>
      <c r="I52" s="32"/>
      <c r="J52" s="34" t="s">
        <v>622</v>
      </c>
      <c r="K52" s="34" t="s">
        <v>621</v>
      </c>
      <c r="L52" s="32"/>
      <c r="M52" s="32"/>
      <c r="N52" s="32"/>
      <c r="O52" s="32"/>
      <c r="P52" s="32"/>
      <c r="Q52" s="32"/>
      <c r="R52" s="32"/>
      <c r="S52" s="32"/>
    </row>
    <row r="53" spans="1:19" s="18" customFormat="1" ht="24" customHeight="1" x14ac:dyDescent="0.25">
      <c r="A53" s="26">
        <v>20</v>
      </c>
      <c r="B53" s="36" t="s">
        <v>203</v>
      </c>
      <c r="C53" s="26" t="s">
        <v>104</v>
      </c>
      <c r="D53" s="43" t="s">
        <v>443</v>
      </c>
      <c r="E53" s="19" t="s">
        <v>435</v>
      </c>
      <c r="F53" s="35" t="s">
        <v>446</v>
      </c>
      <c r="G53" s="146" t="s">
        <v>627</v>
      </c>
      <c r="H53" s="146" t="s">
        <v>619</v>
      </c>
      <c r="I53" s="32"/>
      <c r="J53" s="34" t="s">
        <v>622</v>
      </c>
      <c r="K53" s="34" t="s">
        <v>621</v>
      </c>
      <c r="L53" s="32"/>
      <c r="M53" s="32"/>
      <c r="N53" s="32"/>
      <c r="O53" s="32"/>
      <c r="P53" s="32"/>
      <c r="Q53" s="32"/>
      <c r="R53" s="32"/>
      <c r="S53" s="32"/>
    </row>
    <row r="54" spans="1:19" s="31" customFormat="1" ht="24" customHeight="1" x14ac:dyDescent="0.25">
      <c r="A54" s="26">
        <v>21</v>
      </c>
      <c r="B54" s="36" t="s">
        <v>123</v>
      </c>
      <c r="C54" s="26" t="s">
        <v>104</v>
      </c>
      <c r="D54" s="43" t="s">
        <v>129</v>
      </c>
      <c r="E54" s="26" t="s">
        <v>437</v>
      </c>
      <c r="F54" s="35" t="s">
        <v>61</v>
      </c>
      <c r="G54" s="146" t="s">
        <v>632</v>
      </c>
      <c r="H54" s="34" t="s">
        <v>639</v>
      </c>
      <c r="I54" s="35"/>
      <c r="J54" s="34" t="s">
        <v>622</v>
      </c>
      <c r="K54" s="34" t="s">
        <v>621</v>
      </c>
      <c r="L54" s="35"/>
      <c r="M54" s="35"/>
      <c r="N54" s="35"/>
      <c r="O54" s="35"/>
      <c r="P54" s="35"/>
      <c r="Q54" s="35"/>
      <c r="R54" s="35"/>
      <c r="S54" s="35"/>
    </row>
    <row r="55" spans="1:19" s="31" customFormat="1" ht="24" customHeight="1" x14ac:dyDescent="0.25">
      <c r="A55" s="26">
        <v>22</v>
      </c>
      <c r="B55" s="36" t="s">
        <v>452</v>
      </c>
      <c r="C55" s="26" t="s">
        <v>104</v>
      </c>
      <c r="D55" s="43" t="s">
        <v>453</v>
      </c>
      <c r="E55" s="26" t="s">
        <v>437</v>
      </c>
      <c r="F55" s="35" t="s">
        <v>177</v>
      </c>
      <c r="G55" s="146" t="s">
        <v>632</v>
      </c>
      <c r="H55" s="34" t="s">
        <v>617</v>
      </c>
      <c r="I55" s="35"/>
      <c r="J55" s="34" t="s">
        <v>622</v>
      </c>
      <c r="K55" s="34" t="s">
        <v>621</v>
      </c>
      <c r="L55" s="35"/>
      <c r="M55" s="35"/>
      <c r="N55" s="35"/>
      <c r="O55" s="35"/>
      <c r="P55" s="35"/>
      <c r="Q55" s="35"/>
      <c r="R55" s="35"/>
      <c r="S55" s="35"/>
    </row>
    <row r="56" spans="1:19" s="31" customFormat="1" ht="24" customHeight="1" x14ac:dyDescent="0.25">
      <c r="A56" s="26">
        <v>23</v>
      </c>
      <c r="B56" s="36" t="s">
        <v>649</v>
      </c>
      <c r="C56" s="26" t="s">
        <v>104</v>
      </c>
      <c r="D56" s="43" t="s">
        <v>650</v>
      </c>
      <c r="E56" s="26" t="s">
        <v>437</v>
      </c>
      <c r="F56" s="35" t="s">
        <v>648</v>
      </c>
      <c r="G56" s="146" t="s">
        <v>624</v>
      </c>
      <c r="H56" s="34" t="s">
        <v>635</v>
      </c>
      <c r="I56" s="35"/>
      <c r="J56" s="34" t="s">
        <v>622</v>
      </c>
      <c r="K56" s="34" t="s">
        <v>621</v>
      </c>
      <c r="L56" s="35"/>
      <c r="M56" s="35"/>
      <c r="N56" s="35"/>
      <c r="O56" s="35"/>
      <c r="P56" s="35"/>
      <c r="Q56" s="35"/>
      <c r="R56" s="35"/>
      <c r="S56" s="35"/>
    </row>
    <row r="57" spans="1:19" s="31" customFormat="1" ht="24" customHeight="1" x14ac:dyDescent="0.25">
      <c r="A57" s="26">
        <v>24</v>
      </c>
      <c r="B57" s="36" t="s">
        <v>135</v>
      </c>
      <c r="C57" s="26" t="s">
        <v>104</v>
      </c>
      <c r="D57" s="42" t="s">
        <v>136</v>
      </c>
      <c r="E57" s="26" t="s">
        <v>437</v>
      </c>
      <c r="F57" s="35" t="s">
        <v>137</v>
      </c>
      <c r="G57" s="146" t="s">
        <v>624</v>
      </c>
      <c r="H57" s="34" t="s">
        <v>635</v>
      </c>
      <c r="I57" s="35"/>
      <c r="J57" s="34" t="s">
        <v>622</v>
      </c>
      <c r="K57" s="34" t="s">
        <v>621</v>
      </c>
      <c r="L57" s="35"/>
      <c r="M57" s="35"/>
      <c r="N57" s="35"/>
      <c r="O57" s="35"/>
      <c r="P57" s="35"/>
      <c r="Q57" s="35"/>
      <c r="R57" s="35"/>
      <c r="S57" s="35"/>
    </row>
    <row r="58" spans="1:19" s="31" customFormat="1" ht="24" customHeight="1" x14ac:dyDescent="0.25">
      <c r="A58" s="26">
        <v>25</v>
      </c>
      <c r="B58" s="36" t="s">
        <v>138</v>
      </c>
      <c r="C58" s="26" t="s">
        <v>104</v>
      </c>
      <c r="D58" s="43" t="s">
        <v>139</v>
      </c>
      <c r="E58" s="26" t="s">
        <v>437</v>
      </c>
      <c r="F58" s="35" t="s">
        <v>140</v>
      </c>
      <c r="G58" s="146" t="s">
        <v>627</v>
      </c>
      <c r="H58" s="146" t="s">
        <v>619</v>
      </c>
      <c r="I58" s="35"/>
      <c r="J58" s="34" t="s">
        <v>622</v>
      </c>
      <c r="K58" s="34" t="s">
        <v>621</v>
      </c>
      <c r="L58" s="35"/>
      <c r="M58" s="35"/>
      <c r="N58" s="35"/>
      <c r="O58" s="35"/>
      <c r="P58" s="35"/>
      <c r="Q58" s="35"/>
      <c r="R58" s="35"/>
      <c r="S58" s="35"/>
    </row>
    <row r="59" spans="1:19" s="31" customFormat="1" ht="24" customHeight="1" x14ac:dyDescent="0.25">
      <c r="A59" s="26">
        <v>26</v>
      </c>
      <c r="B59" s="36" t="s">
        <v>449</v>
      </c>
      <c r="C59" s="26" t="s">
        <v>104</v>
      </c>
      <c r="D59" s="42" t="s">
        <v>450</v>
      </c>
      <c r="E59" s="26" t="s">
        <v>437</v>
      </c>
      <c r="F59" s="35" t="s">
        <v>54</v>
      </c>
      <c r="G59" s="146" t="s">
        <v>624</v>
      </c>
      <c r="H59" s="153" t="s">
        <v>640</v>
      </c>
      <c r="I59" s="35"/>
      <c r="J59" s="34" t="s">
        <v>622</v>
      </c>
      <c r="K59" s="34" t="s">
        <v>621</v>
      </c>
      <c r="L59" s="35"/>
      <c r="M59" s="35"/>
      <c r="N59" s="35"/>
      <c r="O59" s="35"/>
      <c r="P59" s="35"/>
      <c r="Q59" s="35"/>
      <c r="R59" s="35"/>
      <c r="S59" s="35"/>
    </row>
    <row r="60" spans="1:19" s="31" customFormat="1" ht="24" customHeight="1" x14ac:dyDescent="0.25">
      <c r="A60" s="26">
        <v>27</v>
      </c>
      <c r="B60" s="36" t="s">
        <v>492</v>
      </c>
      <c r="C60" s="26" t="s">
        <v>104</v>
      </c>
      <c r="D60" s="43" t="s">
        <v>493</v>
      </c>
      <c r="E60" s="26" t="s">
        <v>472</v>
      </c>
      <c r="F60" s="35" t="s">
        <v>473</v>
      </c>
      <c r="G60" s="146" t="s">
        <v>626</v>
      </c>
      <c r="H60" s="34" t="s">
        <v>617</v>
      </c>
      <c r="I60" s="35"/>
      <c r="J60" s="34" t="s">
        <v>622</v>
      </c>
      <c r="K60" s="34" t="s">
        <v>621</v>
      </c>
      <c r="L60" s="35"/>
      <c r="M60" s="35"/>
      <c r="N60" s="35"/>
      <c r="O60" s="35"/>
      <c r="P60" s="35"/>
      <c r="Q60" s="35"/>
      <c r="R60" s="35"/>
      <c r="S60" s="35"/>
    </row>
    <row r="61" spans="1:19" s="31" customFormat="1" ht="24" customHeight="1" x14ac:dyDescent="0.25">
      <c r="A61" s="26">
        <v>28</v>
      </c>
      <c r="B61" s="36" t="s">
        <v>475</v>
      </c>
      <c r="C61" s="26" t="s">
        <v>104</v>
      </c>
      <c r="D61" s="43" t="s">
        <v>476</v>
      </c>
      <c r="E61" s="26" t="s">
        <v>472</v>
      </c>
      <c r="F61" s="35" t="s">
        <v>477</v>
      </c>
      <c r="G61" s="146" t="s">
        <v>627</v>
      </c>
      <c r="H61" s="146" t="s">
        <v>619</v>
      </c>
      <c r="I61" s="35"/>
      <c r="J61" s="34" t="s">
        <v>622</v>
      </c>
      <c r="K61" s="34" t="s">
        <v>621</v>
      </c>
      <c r="L61" s="35"/>
      <c r="M61" s="35"/>
      <c r="N61" s="35"/>
      <c r="O61" s="35"/>
      <c r="P61" s="35"/>
      <c r="Q61" s="35"/>
      <c r="R61" s="35"/>
      <c r="S61" s="35"/>
    </row>
    <row r="62" spans="1:19" s="31" customFormat="1" ht="24" customHeight="1" x14ac:dyDescent="0.25">
      <c r="A62" s="26">
        <v>29</v>
      </c>
      <c r="B62" s="36" t="s">
        <v>114</v>
      </c>
      <c r="C62" s="26" t="s">
        <v>104</v>
      </c>
      <c r="D62" s="43" t="s">
        <v>147</v>
      </c>
      <c r="E62" s="26" t="s">
        <v>433</v>
      </c>
      <c r="F62" s="35" t="s">
        <v>148</v>
      </c>
      <c r="G62" s="146" t="s">
        <v>627</v>
      </c>
      <c r="H62" s="34" t="s">
        <v>617</v>
      </c>
      <c r="I62" s="35"/>
      <c r="J62" s="34" t="s">
        <v>622</v>
      </c>
      <c r="K62" s="34" t="s">
        <v>621</v>
      </c>
      <c r="L62" s="35"/>
      <c r="M62" s="35"/>
      <c r="N62" s="35"/>
      <c r="O62" s="35"/>
      <c r="P62" s="35"/>
      <c r="Q62" s="35"/>
      <c r="R62" s="35"/>
      <c r="S62" s="35"/>
    </row>
    <row r="63" spans="1:19" s="31" customFormat="1" ht="24" customHeight="1" x14ac:dyDescent="0.25">
      <c r="A63" s="26">
        <v>30</v>
      </c>
      <c r="B63" s="36" t="s">
        <v>141</v>
      </c>
      <c r="C63" s="26" t="s">
        <v>104</v>
      </c>
      <c r="D63" s="43" t="s">
        <v>142</v>
      </c>
      <c r="E63" s="26" t="s">
        <v>433</v>
      </c>
      <c r="F63" s="35" t="s">
        <v>158</v>
      </c>
      <c r="G63" s="146" t="s">
        <v>627</v>
      </c>
      <c r="H63" s="34" t="s">
        <v>617</v>
      </c>
      <c r="I63" s="35"/>
      <c r="J63" s="34" t="s">
        <v>622</v>
      </c>
      <c r="K63" s="34" t="s">
        <v>621</v>
      </c>
      <c r="L63" s="35"/>
      <c r="M63" s="35"/>
      <c r="N63" s="35"/>
      <c r="O63" s="35"/>
      <c r="P63" s="35"/>
      <c r="Q63" s="35"/>
      <c r="R63" s="35"/>
      <c r="S63" s="35"/>
    </row>
    <row r="64" spans="1:19" s="31" customFormat="1" ht="24" customHeight="1" x14ac:dyDescent="0.25">
      <c r="A64" s="26">
        <v>31</v>
      </c>
      <c r="B64" s="36" t="s">
        <v>143</v>
      </c>
      <c r="C64" s="26" t="s">
        <v>104</v>
      </c>
      <c r="D64" s="43" t="s">
        <v>144</v>
      </c>
      <c r="E64" s="26" t="s">
        <v>433</v>
      </c>
      <c r="F64" s="35" t="s">
        <v>146</v>
      </c>
      <c r="G64" s="146" t="s">
        <v>627</v>
      </c>
      <c r="H64" s="34" t="s">
        <v>617</v>
      </c>
      <c r="I64" s="35"/>
      <c r="J64" s="34" t="s">
        <v>622</v>
      </c>
      <c r="K64" s="34" t="s">
        <v>621</v>
      </c>
      <c r="L64" s="35"/>
      <c r="M64" s="35"/>
      <c r="N64" s="35"/>
      <c r="O64" s="35"/>
      <c r="P64" s="35"/>
      <c r="Q64" s="35"/>
      <c r="R64" s="35"/>
      <c r="S64" s="35"/>
    </row>
    <row r="65" spans="1:19" s="31" customFormat="1" ht="24" customHeight="1" x14ac:dyDescent="0.25">
      <c r="A65" s="26">
        <v>32</v>
      </c>
      <c r="B65" s="36" t="s">
        <v>114</v>
      </c>
      <c r="C65" s="26" t="s">
        <v>104</v>
      </c>
      <c r="D65" s="43" t="s">
        <v>457</v>
      </c>
      <c r="E65" s="26" t="s">
        <v>433</v>
      </c>
      <c r="F65" s="35" t="s">
        <v>148</v>
      </c>
      <c r="G65" s="146" t="s">
        <v>627</v>
      </c>
      <c r="H65" s="34" t="s">
        <v>617</v>
      </c>
      <c r="I65" s="35"/>
      <c r="J65" s="34" t="s">
        <v>622</v>
      </c>
      <c r="K65" s="34" t="s">
        <v>621</v>
      </c>
      <c r="L65" s="34" t="s">
        <v>628</v>
      </c>
      <c r="M65" s="35"/>
      <c r="N65" s="35"/>
      <c r="O65" s="35"/>
      <c r="P65" s="35"/>
      <c r="Q65" s="35"/>
      <c r="R65" s="35"/>
      <c r="S65" s="35"/>
    </row>
    <row r="66" spans="1:19" s="31" customFormat="1" ht="24" customHeight="1" x14ac:dyDescent="0.25">
      <c r="A66" s="26">
        <v>33</v>
      </c>
      <c r="B66" s="36" t="s">
        <v>141</v>
      </c>
      <c r="C66" s="26" t="s">
        <v>104</v>
      </c>
      <c r="D66" s="43" t="s">
        <v>150</v>
      </c>
      <c r="E66" s="26" t="s">
        <v>433</v>
      </c>
      <c r="F66" s="35" t="s">
        <v>152</v>
      </c>
      <c r="G66" s="146" t="s">
        <v>627</v>
      </c>
      <c r="H66" s="34" t="s">
        <v>617</v>
      </c>
      <c r="I66" s="38" t="s">
        <v>641</v>
      </c>
      <c r="J66" s="34" t="s">
        <v>622</v>
      </c>
      <c r="K66" s="34" t="s">
        <v>621</v>
      </c>
      <c r="L66" s="34" t="s">
        <v>628</v>
      </c>
      <c r="M66" s="35"/>
      <c r="N66" s="35"/>
      <c r="O66" s="35"/>
      <c r="P66" s="35"/>
      <c r="Q66" s="35"/>
      <c r="R66" s="35"/>
      <c r="S66" s="35"/>
    </row>
    <row r="67" spans="1:19" s="31" customFormat="1" ht="24" customHeight="1" x14ac:dyDescent="0.25">
      <c r="A67" s="26">
        <v>34</v>
      </c>
      <c r="B67" s="36" t="s">
        <v>156</v>
      </c>
      <c r="C67" s="26" t="s">
        <v>104</v>
      </c>
      <c r="D67" s="43" t="s">
        <v>157</v>
      </c>
      <c r="E67" s="26" t="s">
        <v>433</v>
      </c>
      <c r="F67" s="35" t="s">
        <v>491</v>
      </c>
      <c r="G67" s="146" t="s">
        <v>626</v>
      </c>
      <c r="H67" s="34" t="s">
        <v>617</v>
      </c>
      <c r="I67" s="38" t="s">
        <v>641</v>
      </c>
      <c r="J67" s="34" t="s">
        <v>622</v>
      </c>
      <c r="K67" s="34" t="s">
        <v>621</v>
      </c>
      <c r="L67" s="35"/>
      <c r="M67" s="35"/>
      <c r="N67" s="35"/>
      <c r="O67" s="35"/>
      <c r="P67" s="35"/>
      <c r="Q67" s="35"/>
      <c r="R67" s="35"/>
      <c r="S67" s="35"/>
    </row>
    <row r="68" spans="1:19" s="31" customFormat="1" ht="24" customHeight="1" x14ac:dyDescent="0.25">
      <c r="A68" s="26">
        <v>35</v>
      </c>
      <c r="B68" s="36" t="s">
        <v>598</v>
      </c>
      <c r="C68" s="26" t="s">
        <v>104</v>
      </c>
      <c r="D68" s="43" t="s">
        <v>599</v>
      </c>
      <c r="E68" s="26" t="s">
        <v>433</v>
      </c>
      <c r="F68" s="35" t="s">
        <v>458</v>
      </c>
      <c r="G68" s="146" t="s">
        <v>624</v>
      </c>
      <c r="H68" s="34" t="s">
        <v>617</v>
      </c>
      <c r="I68" s="35"/>
      <c r="J68" s="34" t="s">
        <v>622</v>
      </c>
      <c r="K68" s="34" t="s">
        <v>621</v>
      </c>
      <c r="L68" s="35"/>
      <c r="M68" s="35"/>
      <c r="N68" s="35"/>
      <c r="O68" s="35"/>
      <c r="P68" s="35"/>
      <c r="Q68" s="35"/>
      <c r="R68" s="35"/>
      <c r="S68" s="35"/>
    </row>
    <row r="69" spans="1:19" s="31" customFormat="1" ht="24" customHeight="1" x14ac:dyDescent="0.25">
      <c r="A69" s="26">
        <v>36</v>
      </c>
      <c r="B69" s="36" t="s">
        <v>674</v>
      </c>
      <c r="C69" s="26" t="s">
        <v>104</v>
      </c>
      <c r="D69" s="43" t="s">
        <v>675</v>
      </c>
      <c r="E69" s="26" t="s">
        <v>433</v>
      </c>
      <c r="F69" s="35" t="s">
        <v>160</v>
      </c>
      <c r="G69" s="146" t="s">
        <v>633</v>
      </c>
      <c r="H69" s="34" t="s">
        <v>635</v>
      </c>
      <c r="I69" s="35"/>
      <c r="J69" s="34" t="s">
        <v>622</v>
      </c>
      <c r="K69" s="34" t="s">
        <v>621</v>
      </c>
      <c r="L69" s="34" t="s">
        <v>628</v>
      </c>
      <c r="M69" s="35"/>
      <c r="N69" s="35"/>
      <c r="O69" s="35"/>
      <c r="P69" s="35"/>
      <c r="Q69" s="35"/>
      <c r="R69" s="35"/>
      <c r="S69" s="35"/>
    </row>
    <row r="70" spans="1:19" s="31" customFormat="1" ht="24" customHeight="1" x14ac:dyDescent="0.25">
      <c r="A70" s="26">
        <v>37</v>
      </c>
      <c r="B70" s="36" t="s">
        <v>598</v>
      </c>
      <c r="C70" s="26" t="s">
        <v>104</v>
      </c>
      <c r="D70" s="43" t="s">
        <v>599</v>
      </c>
      <c r="E70" s="26" t="s">
        <v>433</v>
      </c>
      <c r="F70" s="35" t="s">
        <v>161</v>
      </c>
      <c r="G70" s="146" t="s">
        <v>624</v>
      </c>
      <c r="H70" s="34" t="s">
        <v>617</v>
      </c>
      <c r="I70" s="35"/>
      <c r="J70" s="34" t="s">
        <v>622</v>
      </c>
      <c r="K70" s="34" t="s">
        <v>621</v>
      </c>
      <c r="L70" s="35"/>
      <c r="M70" s="35"/>
      <c r="N70" s="35"/>
      <c r="O70" s="35"/>
      <c r="P70" s="35"/>
      <c r="Q70" s="35"/>
      <c r="R70" s="35"/>
      <c r="S70" s="35"/>
    </row>
    <row r="71" spans="1:19" s="31" customFormat="1" ht="24" customHeight="1" x14ac:dyDescent="0.25">
      <c r="A71" s="26">
        <v>38</v>
      </c>
      <c r="B71" s="36" t="s">
        <v>141</v>
      </c>
      <c r="C71" s="26" t="s">
        <v>104</v>
      </c>
      <c r="D71" s="43" t="s">
        <v>456</v>
      </c>
      <c r="E71" s="26" t="s">
        <v>433</v>
      </c>
      <c r="F71" s="35" t="s">
        <v>162</v>
      </c>
      <c r="G71" s="146" t="s">
        <v>627</v>
      </c>
      <c r="H71" s="34" t="s">
        <v>617</v>
      </c>
      <c r="I71" s="35"/>
      <c r="J71" s="34" t="s">
        <v>622</v>
      </c>
      <c r="K71" s="34" t="s">
        <v>621</v>
      </c>
      <c r="L71" s="34" t="s">
        <v>628</v>
      </c>
      <c r="M71" s="35"/>
      <c r="N71" s="35"/>
      <c r="O71" s="35"/>
      <c r="P71" s="35"/>
      <c r="Q71" s="35"/>
      <c r="R71" s="35"/>
      <c r="S71" s="35"/>
    </row>
    <row r="72" spans="1:19" s="31" customFormat="1" ht="24" customHeight="1" x14ac:dyDescent="0.25">
      <c r="A72" s="26">
        <v>39</v>
      </c>
      <c r="B72" s="36" t="s">
        <v>154</v>
      </c>
      <c r="C72" s="26" t="s">
        <v>104</v>
      </c>
      <c r="D72" s="43" t="s">
        <v>155</v>
      </c>
      <c r="E72" s="26" t="s">
        <v>433</v>
      </c>
      <c r="F72" s="35" t="s">
        <v>494</v>
      </c>
      <c r="G72" s="146" t="s">
        <v>626</v>
      </c>
      <c r="H72" s="34" t="s">
        <v>617</v>
      </c>
      <c r="I72" s="35"/>
      <c r="J72" s="34" t="s">
        <v>622</v>
      </c>
      <c r="K72" s="34" t="s">
        <v>621</v>
      </c>
      <c r="L72" s="35"/>
      <c r="M72" s="35"/>
      <c r="N72" s="35"/>
      <c r="O72" s="35"/>
      <c r="P72" s="35"/>
      <c r="Q72" s="35"/>
      <c r="R72" s="35"/>
      <c r="S72" s="35"/>
    </row>
    <row r="73" spans="1:19" s="31" customFormat="1" ht="24" customHeight="1" x14ac:dyDescent="0.25">
      <c r="A73" s="26">
        <v>40</v>
      </c>
      <c r="B73" s="36" t="s">
        <v>676</v>
      </c>
      <c r="C73" s="26" t="s">
        <v>104</v>
      </c>
      <c r="D73" s="43" t="s">
        <v>677</v>
      </c>
      <c r="E73" s="26" t="s">
        <v>433</v>
      </c>
      <c r="F73" s="35" t="s">
        <v>673</v>
      </c>
      <c r="G73" s="146" t="s">
        <v>626</v>
      </c>
      <c r="H73" s="34" t="s">
        <v>617</v>
      </c>
      <c r="I73" s="35"/>
      <c r="J73" s="34" t="s">
        <v>622</v>
      </c>
      <c r="K73" s="34" t="s">
        <v>621</v>
      </c>
      <c r="L73" s="34" t="s">
        <v>628</v>
      </c>
      <c r="M73" s="35"/>
      <c r="N73" s="35"/>
      <c r="O73" s="35"/>
      <c r="P73" s="35"/>
      <c r="Q73" s="35"/>
      <c r="R73" s="35"/>
      <c r="S73" s="35"/>
    </row>
    <row r="74" spans="1:19" s="31" customFormat="1" ht="24" x14ac:dyDescent="0.25">
      <c r="A74" s="26">
        <v>41</v>
      </c>
      <c r="B74" s="36" t="s">
        <v>197</v>
      </c>
      <c r="C74" s="26" t="s">
        <v>104</v>
      </c>
      <c r="D74" s="43" t="s">
        <v>460</v>
      </c>
      <c r="E74" s="26" t="s">
        <v>433</v>
      </c>
      <c r="F74" s="35" t="s">
        <v>198</v>
      </c>
      <c r="G74" s="146" t="s">
        <v>627</v>
      </c>
      <c r="H74" s="34" t="s">
        <v>617</v>
      </c>
      <c r="I74" s="35"/>
      <c r="J74" s="34" t="s">
        <v>622</v>
      </c>
      <c r="K74" s="34" t="s">
        <v>621</v>
      </c>
      <c r="L74" s="35"/>
      <c r="M74" s="35"/>
      <c r="N74" s="35"/>
      <c r="O74" s="35"/>
      <c r="P74" s="35"/>
      <c r="Q74" s="35"/>
      <c r="R74" s="35"/>
      <c r="S74" s="35"/>
    </row>
    <row r="75" spans="1:19" s="18" customFormat="1" ht="24" customHeight="1" x14ac:dyDescent="0.25">
      <c r="A75" s="10" t="s">
        <v>232</v>
      </c>
      <c r="B75" s="11" t="s">
        <v>233</v>
      </c>
      <c r="C75" s="13"/>
      <c r="D75" s="14"/>
      <c r="E75" s="13"/>
      <c r="F75" s="39"/>
      <c r="G75" s="40"/>
      <c r="H75" s="145"/>
      <c r="I75" s="39"/>
      <c r="J75" s="39"/>
      <c r="K75" s="39"/>
      <c r="L75" s="39"/>
      <c r="M75" s="39"/>
      <c r="N75" s="39"/>
      <c r="O75" s="39"/>
      <c r="P75" s="39"/>
      <c r="Q75" s="39"/>
      <c r="R75" s="39"/>
      <c r="S75" s="39"/>
    </row>
    <row r="76" spans="1:19" s="18" customFormat="1" ht="24" customHeight="1" x14ac:dyDescent="0.25">
      <c r="A76" s="19">
        <v>1</v>
      </c>
      <c r="B76" s="20" t="s">
        <v>234</v>
      </c>
      <c r="C76" s="19" t="s">
        <v>235</v>
      </c>
      <c r="D76" s="42" t="s">
        <v>236</v>
      </c>
      <c r="E76" s="19" t="s">
        <v>237</v>
      </c>
      <c r="F76" s="19" t="s">
        <v>60</v>
      </c>
      <c r="G76" s="34" t="s">
        <v>644</v>
      </c>
      <c r="H76" s="147"/>
      <c r="I76" s="32"/>
      <c r="J76" s="32"/>
      <c r="K76" s="34" t="s">
        <v>621</v>
      </c>
      <c r="L76" s="32"/>
      <c r="M76" s="32"/>
      <c r="N76" s="32"/>
      <c r="O76" s="32"/>
      <c r="P76" s="32"/>
      <c r="Q76" s="32"/>
      <c r="R76" s="32"/>
      <c r="S76" s="34" t="s">
        <v>647</v>
      </c>
    </row>
    <row r="77" spans="1:19" s="18" customFormat="1" ht="24" customHeight="1" x14ac:dyDescent="0.25">
      <c r="A77" s="19">
        <v>2</v>
      </c>
      <c r="B77" s="20" t="s">
        <v>239</v>
      </c>
      <c r="C77" s="19" t="s">
        <v>235</v>
      </c>
      <c r="D77" s="42" t="s">
        <v>240</v>
      </c>
      <c r="E77" s="19" t="s">
        <v>237</v>
      </c>
      <c r="F77" s="32" t="s">
        <v>58</v>
      </c>
      <c r="G77" s="34" t="s">
        <v>643</v>
      </c>
      <c r="H77" s="147"/>
      <c r="I77" s="32"/>
      <c r="J77" s="32"/>
      <c r="K77" s="34" t="s">
        <v>621</v>
      </c>
      <c r="L77" s="32"/>
      <c r="M77" s="32"/>
      <c r="N77" s="32"/>
      <c r="O77" s="32"/>
      <c r="P77" s="32"/>
      <c r="Q77" s="32"/>
      <c r="R77" s="32"/>
      <c r="S77" s="34" t="s">
        <v>646</v>
      </c>
    </row>
    <row r="78" spans="1:19" s="18" customFormat="1" ht="24" customHeight="1" x14ac:dyDescent="0.25">
      <c r="A78" s="19">
        <v>3</v>
      </c>
      <c r="B78" s="20" t="s">
        <v>241</v>
      </c>
      <c r="C78" s="19" t="s">
        <v>235</v>
      </c>
      <c r="D78" s="42" t="s">
        <v>242</v>
      </c>
      <c r="E78" s="19" t="s">
        <v>237</v>
      </c>
      <c r="F78" s="32" t="s">
        <v>58</v>
      </c>
      <c r="G78" s="34" t="s">
        <v>642</v>
      </c>
      <c r="H78" s="147"/>
      <c r="I78" s="32"/>
      <c r="J78" s="32"/>
      <c r="K78" s="34" t="s">
        <v>621</v>
      </c>
      <c r="L78" s="32"/>
      <c r="M78" s="32"/>
      <c r="N78" s="32"/>
      <c r="O78" s="32"/>
      <c r="P78" s="32"/>
      <c r="Q78" s="32"/>
      <c r="R78" s="32"/>
      <c r="S78" s="34" t="s">
        <v>645</v>
      </c>
    </row>
    <row r="79" spans="1:19" s="18" customFormat="1" ht="24" customHeight="1" x14ac:dyDescent="0.25">
      <c r="A79" s="75"/>
      <c r="B79" s="76" t="s">
        <v>430</v>
      </c>
      <c r="C79" s="75"/>
      <c r="D79" s="78"/>
      <c r="E79" s="75"/>
      <c r="F79" s="82"/>
      <c r="G79" s="79"/>
      <c r="H79" s="148"/>
      <c r="I79" s="82"/>
      <c r="J79" s="82"/>
      <c r="K79" s="82"/>
      <c r="L79" s="82"/>
      <c r="M79" s="82"/>
      <c r="N79" s="82"/>
      <c r="O79" s="82"/>
      <c r="P79" s="82"/>
      <c r="Q79" s="82"/>
      <c r="R79" s="82"/>
      <c r="S79" s="82"/>
    </row>
  </sheetData>
  <autoFilter ref="B7:S79" xr:uid="{2E1FABDF-33A0-4E6C-BBC9-23091C1E0ECA}"/>
  <mergeCells count="7">
    <mergeCell ref="A6:A7"/>
    <mergeCell ref="B6:F6"/>
    <mergeCell ref="G6:S6"/>
    <mergeCell ref="B1:C2"/>
    <mergeCell ref="B3:F3"/>
    <mergeCell ref="B4:F4"/>
    <mergeCell ref="B5:F5"/>
  </mergeCells>
  <pageMargins left="0.31496062992125984" right="0.23622047244094491" top="0.27559055118110237" bottom="0.19685039370078741" header="0.19685039370078741" footer="0.31496062992125984"/>
  <pageSetup paperSize="9" scale="22" fitToHeight="0" orientation="landscape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HeadingPairs>
  <TitlesOfParts>
    <vt:vector size="12" baseType="lpstr">
      <vt:lpstr>ĐPHA</vt:lpstr>
      <vt:lpstr>TB-VP</vt:lpstr>
      <vt:lpstr>TB-Bỏ</vt:lpstr>
      <vt:lpstr>TH</vt:lpstr>
      <vt:lpstr>ĐPHA!Print_Area</vt:lpstr>
      <vt:lpstr>'TB-Bỏ'!Print_Area</vt:lpstr>
      <vt:lpstr>'TB-VP'!Print_Area</vt:lpstr>
      <vt:lpstr>TH!Print_Area</vt:lpstr>
      <vt:lpstr>ĐPHA!Print_Titles</vt:lpstr>
      <vt:lpstr>'TB-Bỏ'!Print_Titles</vt:lpstr>
      <vt:lpstr>'TB-VP'!Print_Titles</vt:lpstr>
      <vt:lpstr>TH!Print_Titles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Thanh Hai™</dc:creator>
  <cp:lastModifiedBy>Thanh Hai™</cp:lastModifiedBy>
  <cp:lastPrinted>2025-10-01T03:13:58Z</cp:lastPrinted>
  <dcterms:created xsi:type="dcterms:W3CDTF">2025-06-05T02:13:32Z</dcterms:created>
  <dcterms:modified xsi:type="dcterms:W3CDTF">2026-07-01T03:06:01Z</dcterms:modified>
</cp:coreProperties>
</file>